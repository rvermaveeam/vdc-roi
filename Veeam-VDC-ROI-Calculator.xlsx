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80" windowHeight="16820" tabRatio="500" firstSheet="0" activeTab="0" autoFilterDateGrouping="1"/>
  </bookViews>
  <sheets>
    <sheet xmlns:r="http://schemas.openxmlformats.org/officeDocument/2006/relationships" name="ROI Calculato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f" sheetId="3" state="visible" r:id="rId3"/>
    <sheet xmlns:r="http://schemas.openxmlformats.org/officeDocument/2006/relationships" name="Recovery Workflow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0.0%"/>
    <numFmt numFmtId="166" formatCode="\$#,##0.00"/>
    <numFmt numFmtId="167" formatCode="0.00\x"/>
    <numFmt numFmtId="168" formatCode="0.0&quot;x&quot;"/>
  </numFmts>
  <fonts count="65">
    <font>
      <name val="Calibri"/>
      <charset val="1"/>
      <family val="2"/>
      <color theme="1"/>
      <sz val="11"/>
    </font>
    <font>
      <name val="Calibri"/>
      <family val="2"/>
      <color rgb="FF000000"/>
      <sz val="12"/>
    </font>
    <font>
      <name val="Arial"/>
      <family val="2"/>
      <b val="1"/>
      <color rgb="FF00B140"/>
      <sz val="21"/>
    </font>
    <font>
      <name val="Arial"/>
      <family val="2"/>
      <color rgb="FF8CA0B8"/>
      <sz val="14"/>
    </font>
    <font>
      <name val="Arial"/>
      <family val="2"/>
      <b val="1"/>
      <color rgb="FFFFFFFF"/>
      <sz val="11"/>
    </font>
    <font>
      <name val="Arial"/>
      <family val="2"/>
      <b val="1"/>
      <color rgb="FF1D2D3E"/>
      <sz val="11"/>
    </font>
    <font>
      <name val="Arial"/>
      <family val="2"/>
      <b val="1"/>
      <color rgb="FF0000FF"/>
      <sz val="11"/>
    </font>
    <font>
      <name val="Arial"/>
      <family val="2"/>
      <i val="1"/>
      <color rgb="FF64748B"/>
      <sz val="11"/>
    </font>
    <font>
      <name val="Arial"/>
      <family val="2"/>
      <color rgb="FF1D2D3E"/>
      <sz val="11"/>
    </font>
    <font>
      <name val="Calibri"/>
      <family val="2"/>
      <color rgb="FF000000"/>
      <sz val="11"/>
    </font>
    <font>
      <name val="Arial"/>
      <family val="2"/>
      <color rgb="FF64748B"/>
      <sz val="11"/>
    </font>
    <font>
      <name val="Arial"/>
      <family val="2"/>
      <color rgb="FF000000"/>
      <sz val="11"/>
    </font>
    <font>
      <name val="Arial"/>
      <family val="2"/>
      <b val="1"/>
      <color rgb="FF166534"/>
      <sz val="11"/>
    </font>
    <font>
      <name val="Arial"/>
      <family val="2"/>
      <b val="1"/>
      <color rgb="FF166534"/>
      <sz val="21"/>
    </font>
    <font>
      <name val="Arial"/>
      <family val="2"/>
      <b val="1"/>
      <color rgb="FF00B140"/>
      <sz val="11"/>
    </font>
    <font>
      <name val="Arial"/>
      <family val="2"/>
      <b val="1"/>
      <color rgb="FF00B140"/>
      <sz val="13"/>
    </font>
    <font>
      <name val="Arial"/>
      <family val="2"/>
      <b val="1"/>
      <color rgb="FFFFFFFF"/>
      <sz val="9"/>
    </font>
    <font>
      <name val="Arial"/>
      <family val="2"/>
      <b val="1"/>
      <color rgb="FF1D2D3E"/>
      <sz val="9"/>
    </font>
    <font>
      <name val="Arial"/>
      <family val="2"/>
      <i val="1"/>
      <color rgb="FF64748B"/>
      <sz val="8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8"/>
    </font>
    <font>
      <name val="Arial"/>
      <family val="2"/>
      <color rgb="FF0000FF"/>
      <sz val="9"/>
    </font>
    <font>
      <name val="Arial"/>
      <family val="2"/>
      <color rgb="FF000000"/>
      <sz val="9"/>
    </font>
    <font>
      <name val="Arial"/>
      <family val="2"/>
      <sz val="8"/>
    </font>
    <font>
      <name val="Arial"/>
      <family val="2"/>
      <sz val="9"/>
    </font>
    <font>
      <name val="Arial"/>
      <family val="2"/>
      <b val="1"/>
      <color rgb="FF00B140"/>
      <sz val="16"/>
    </font>
    <font>
      <name val="Arial"/>
      <family val="2"/>
      <b val="1"/>
      <color rgb="FFFFFFFF"/>
      <sz val="24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1"/>
    </font>
    <font>
      <name val="Arial"/>
      <family val="2"/>
      <i val="1"/>
      <color rgb="FF64748B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8CA0B8"/>
      <sz val="11"/>
    </font>
    <font>
      <name val="Arial"/>
      <family val="2"/>
      <color rgb="FF1D2D3E"/>
      <sz val="11"/>
    </font>
    <font>
      <name val="Arial"/>
      <family val="2"/>
      <color rgb="FFFFFFFF"/>
      <sz val="11"/>
    </font>
    <font>
      <name val="Arial"/>
      <family val="2"/>
      <b val="1"/>
      <color rgb="FF1D2D3E"/>
      <sz val="11"/>
    </font>
    <font>
      <name val="Arial"/>
      <family val="2"/>
      <b val="1"/>
      <color rgb="FF0000FF"/>
      <sz val="11"/>
    </font>
    <font>
      <name val="Arial"/>
      <family val="2"/>
      <b val="1"/>
      <color rgb="FF166534"/>
      <sz val="11"/>
    </font>
    <font>
      <name val="&lt;class 'NoneType'&gt;"/>
      <sz val="11"/>
    </font>
    <font>
      <name val="Arial"/>
      <family val="2"/>
      <b val="1"/>
      <color rgb="FFB45309"/>
      <sz val="11"/>
    </font>
    <font>
      <name val="Arial"/>
      <family val="2"/>
      <i val="1"/>
      <color rgb="FFB45309"/>
      <sz val="9"/>
    </font>
    <font>
      <name val="Arial"/>
      <family val="2"/>
      <i val="1"/>
      <color rgb="FF555555"/>
      <sz val="11"/>
    </font>
    <font>
      <name val="Arial"/>
      <family val="2"/>
      <i val="1"/>
      <color rgb="FF555555"/>
      <sz val="10"/>
    </font>
    <font>
      <name val="Arial"/>
      <family val="2"/>
      <b val="1"/>
      <color rgb="FFC05000"/>
      <sz val="11"/>
    </font>
    <font>
      <name val="Arial"/>
      <family val="2"/>
      <color rgb="FF1D4ED8"/>
      <sz val="11"/>
    </font>
    <font>
      <name val="Arial"/>
      <family val="2"/>
      <i val="1"/>
      <color rgb="FF64748B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color rgb="FF64748B"/>
      <sz val="10"/>
    </font>
    <font>
      <name val="Arial"/>
      <family val="2"/>
      <color rgb="FF1D2D3E"/>
      <sz val="11"/>
    </font>
    <font>
      <name val="Arial"/>
      <family val="2"/>
      <color rgb="FF0000FF"/>
      <sz val="9"/>
    </font>
    <font>
      <name val="Arial"/>
      <family val="2"/>
      <b val="1"/>
      <color rgb="FF1D2D3E"/>
      <sz val="8"/>
    </font>
    <font>
      <name val="Arial"/>
      <family val="2"/>
      <color rgb="FF1D2D3E"/>
      <sz val="9"/>
    </font>
    <font>
      <name val="Arial"/>
      <family val="2"/>
      <b val="1"/>
      <color rgb="FF1D2D3E"/>
      <sz val="9"/>
    </font>
    <font>
      <name val="Arial"/>
      <family val="2"/>
      <color rgb="FF64748B"/>
      <sz val="9"/>
    </font>
    <font>
      <name val="Calibri"/>
      <family val="2"/>
      <b val="1"/>
      <color rgb="FFB91C1C"/>
      <sz val="11"/>
    </font>
    <font>
      <name val="Calibri"/>
      <family val="2"/>
      <i val="1"/>
      <color rgb="FF991B1B"/>
      <sz val="9"/>
    </font>
    <font>
      <name val="Calibri"/>
      <family val="2"/>
      <b val="1"/>
      <color rgb="FFB91C1C"/>
      <sz val="12"/>
    </font>
    <font>
      <name val="Calibri"/>
      <family val="2"/>
      <b val="1"/>
      <color rgb="FFFFFFFF"/>
      <sz val="10"/>
    </font>
    <font>
      <name val="Calibri"/>
      <family val="2"/>
      <i val="1"/>
      <color rgb="FF9CA3AF"/>
      <sz val="9"/>
    </font>
    <font>
      <name val="Calibri"/>
      <family val="2"/>
      <b val="1"/>
      <color rgb="FFFCD34D"/>
      <sz val="16"/>
    </font>
    <font>
      <name val="Calibri"/>
      <family val="2"/>
      <i val="1"/>
      <color rgb="FF64748B"/>
      <sz val="9"/>
    </font>
    <font>
      <name val="Arial"/>
      <family val="2"/>
      <i val="1"/>
      <color theme="0"/>
      <sz val="11"/>
    </font>
    <font>
      <name val="Calibri"/>
      <charset val="1"/>
      <family val="2"/>
      <color theme="0"/>
      <sz val="11"/>
    </font>
    <font>
      <name val="Calibri"/>
      <charset val="1"/>
      <family val="2"/>
      <color rgb="FF000000"/>
      <sz val="11"/>
    </font>
  </fonts>
  <fills count="24">
    <fill>
      <patternFill/>
    </fill>
    <fill>
      <patternFill patternType="gray125"/>
    </fill>
    <fill>
      <patternFill patternType="solid">
        <fgColor rgb="FF1D2D3E"/>
        <bgColor rgb="FF263C52"/>
      </patternFill>
    </fill>
    <fill>
      <patternFill patternType="solid">
        <fgColor rgb="FF00B140"/>
        <bgColor rgb="FF15803D"/>
      </patternFill>
    </fill>
    <fill>
      <patternFill patternType="solid">
        <fgColor rgb="FF263C52"/>
        <bgColor rgb="FF1D2D3E"/>
      </patternFill>
    </fill>
    <fill>
      <patternFill patternType="solid">
        <fgColor rgb="FFFFFFFF"/>
        <bgColor rgb="FFFFFBEB"/>
      </patternFill>
    </fill>
    <fill>
      <patternFill patternType="solid">
        <fgColor rgb="FFF4F6F8"/>
        <bgColor rgb="FFFEF2F2"/>
      </patternFill>
    </fill>
    <fill>
      <patternFill patternType="solid">
        <fgColor rgb="FFFFFDE7"/>
        <bgColor rgb="FFFFFBEB"/>
      </patternFill>
    </fill>
    <fill>
      <patternFill patternType="solid">
        <fgColor rgb="FFFEF2F2"/>
        <bgColor rgb="FFF4F6F8"/>
      </patternFill>
    </fill>
    <fill>
      <patternFill patternType="solid">
        <fgColor rgb="FFFFFBEB"/>
        <bgColor rgb="FFFFFDE7"/>
      </patternFill>
    </fill>
    <fill>
      <patternFill patternType="solid">
        <fgColor rgb="FFE8F7EE"/>
        <bgColor rgb="FFF4F6F8"/>
      </patternFill>
    </fill>
    <fill>
      <patternFill patternType="solid">
        <fgColor rgb="FFB91C1C"/>
        <bgColor rgb="FF993366"/>
      </patternFill>
    </fill>
    <fill>
      <patternFill patternType="solid">
        <fgColor rgb="FF15803D"/>
        <bgColor rgb="FF166534"/>
      </patternFill>
    </fill>
    <fill>
      <patternFill patternType="solid">
        <fgColor rgb="FF1D2D3E"/>
      </patternFill>
    </fill>
    <fill>
      <patternFill patternType="solid">
        <fgColor rgb="FFFEF2F2"/>
      </patternFill>
    </fill>
    <fill>
      <patternFill patternType="solid">
        <fgColor rgb="FF263C52"/>
      </patternFill>
    </fill>
    <fill>
      <patternFill patternType="solid">
        <fgColor rgb="FFF4F6F8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FF3E0"/>
      </patternFill>
    </fill>
    <fill>
      <patternFill patternType="solid">
        <fgColor rgb="FFEFF6FF"/>
      </patternFill>
    </fill>
    <fill>
      <patternFill patternType="solid">
        <fgColor rgb="FFDCE6F0"/>
      </patternFill>
    </fill>
    <fill>
      <patternFill patternType="solid">
        <fgColor rgb="FFF0F4F8"/>
      </patternFill>
    </fill>
  </fills>
  <borders count="37">
    <border>
      <left/>
      <right/>
      <top/>
      <bottom/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medium">
        <color rgb="FF00B140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n">
        <color rgb="FF263C52"/>
      </left>
      <right style="thin">
        <color rgb="FF263C52"/>
      </right>
      <top style="thin">
        <color rgb="FF263C52"/>
      </top>
      <bottom style="thin">
        <color rgb="FF263C52"/>
      </bottom>
      <diagonal/>
    </border>
    <border>
      <left style="thin">
        <color rgb="FFDDE3EA"/>
      </left>
      <right style="thin">
        <color rgb="FFDDE3EA"/>
      </right>
      <top style="medium">
        <color rgb="FFB91C1C"/>
      </top>
      <bottom style="medium">
        <color rgb="FFB91C1C"/>
      </bottom>
      <diagonal/>
    </border>
    <border>
      <left style="thin">
        <color rgb="FFDDE3EA"/>
      </left>
      <right style="thin">
        <color rgb="FFDDE3EA"/>
      </right>
      <top style="medium">
        <color rgb="FF00B140"/>
      </top>
      <bottom style="medium">
        <color rgb="FF00B140"/>
      </bottom>
      <diagonal/>
    </border>
    <border>
      <left style="thin">
        <color rgb="FF1D2D3E"/>
      </left>
      <right style="thin">
        <color rgb="FF1D2D3E"/>
      </right>
      <top style="thin">
        <color rgb="FF1D2D3E"/>
      </top>
      <bottom style="thin">
        <color rgb="FF1D2D3E"/>
      </bottom>
      <diagonal/>
    </border>
    <border>
      <left/>
      <right style="thin">
        <color rgb="FFDDE3EA"/>
      </right>
      <top/>
      <bottom style="thin">
        <color rgb="FFDDE3EA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 style="thin">
        <color rgb="FF15803D"/>
      </left>
      <right/>
      <top style="thin">
        <color rgb="FF15803D"/>
      </top>
      <bottom style="thin">
        <color rgb="FF15803D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thin">
        <color rgb="FF15803D"/>
      </bottom>
      <diagonal/>
    </border>
    <border>
      <left/>
      <right/>
      <top style="thin">
        <color rgb="FFDDE3EA"/>
      </top>
      <bottom style="thin">
        <color rgb="FFDDE3EA"/>
      </bottom>
      <diagonal/>
    </border>
    <border>
      <left/>
      <right style="thin">
        <color rgb="FFDDE3EA"/>
      </right>
      <top style="thin">
        <color rgb="FFDDE3EA"/>
      </top>
      <bottom style="thin">
        <color rgb="FFDDE3EA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15803D"/>
      </top>
      <bottom style="thin">
        <color rgb="FF15803D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/>
      <right/>
      <top style="thin">
        <color rgb="FFDDE3EA"/>
      </top>
      <bottom style="thin">
        <color rgb="FFDDE3EA"/>
      </bottom>
      <diagonal/>
    </border>
    <border>
      <left/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medium">
        <color rgb="FF00B140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n">
        <color rgb="FFDDE3EA"/>
      </left>
      <right style="thin">
        <color rgb="FFDDE3EA"/>
      </right>
      <top style="medium">
        <color rgb="FF00B140"/>
      </top>
      <bottom style="medium">
        <color rgb="FF00B140"/>
      </bottom>
      <diagonal/>
    </border>
    <border>
      <left/>
      <right style="thin">
        <color rgb="FFDDE3EA"/>
      </right>
      <top style="medium">
        <color rgb="FF00B140"/>
      </top>
      <bottom style="medium">
        <color rgb="FF00B140"/>
      </bottom>
      <diagonal/>
    </border>
    <border>
      <left style="thin">
        <color rgb="FFDDE3EA"/>
      </left>
      <right style="thin">
        <color rgb="FFDDE3EA"/>
      </right>
      <top style="medium">
        <color rgb="FFB45309"/>
      </top>
      <bottom style="medium">
        <color rgb="FFB45309"/>
      </bottom>
      <diagonal/>
    </border>
    <border>
      <left/>
      <right/>
      <top style="medium">
        <color rgb="FFB45309"/>
      </top>
      <bottom style="medium">
        <color rgb="FFB45309"/>
      </bottom>
      <diagonal/>
    </border>
    <border>
      <left/>
      <right style="thin">
        <color rgb="FFDDE3EA"/>
      </right>
      <top style="medium">
        <color rgb="FFB45309"/>
      </top>
      <bottom style="medium">
        <color rgb="FFB4530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00B140"/>
      </top>
      <bottom style="medium">
        <color rgb="FF00B140"/>
      </bottom>
      <diagonal/>
    </border>
    <border>
      <left/>
      <right/>
      <top style="thin">
        <color rgb="FFDDE3EA"/>
      </top>
      <bottom/>
      <diagonal/>
    </border>
    <border>
      <left/>
      <right style="thin">
        <color rgb="FFDDE3EA"/>
      </right>
      <top style="thin">
        <color rgb="FFDDE3EA"/>
      </top>
      <bottom/>
      <diagonal/>
    </border>
    <border>
      <left/>
      <right/>
      <top style="medium">
        <color rgb="FF00B140"/>
      </top>
      <bottom/>
      <diagonal/>
    </border>
    <border>
      <left/>
      <right style="thin">
        <color rgb="FFDDE3EA"/>
      </right>
      <top style="medium">
        <color rgb="FF00B140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B91C1C"/>
      </top>
      <bottom/>
      <diagonal/>
    </border>
    <border>
      <left/>
      <right/>
      <top style="thin">
        <color rgb="FF15803D"/>
      </top>
      <bottom/>
      <diagonal/>
    </border>
  </borders>
  <cellStyleXfs count="1">
    <xf numFmtId="0" fontId="0" fillId="0" borderId="0"/>
  </cellStyleXfs>
  <cellXfs count="18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3" fontId="6" fillId="7" borderId="2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4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10" borderId="5" applyAlignment="1" pivotButton="0" quotePrefix="0" xfId="0">
      <alignment horizontal="left" vertical="center" wrapText="1"/>
    </xf>
    <xf numFmtId="0" fontId="10" fillId="10" borderId="5" applyAlignment="1" pivotButton="0" quotePrefix="0" xfId="0">
      <alignment horizontal="center" vertical="center" wrapText="1"/>
    </xf>
    <xf numFmtId="0" fontId="1" fillId="10" borderId="5" pivotButton="0" quotePrefix="0" xfId="0"/>
    <xf numFmtId="0" fontId="1" fillId="10" borderId="5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left" vertical="center" wrapText="1"/>
    </xf>
    <xf numFmtId="0" fontId="1" fillId="10" borderId="1" pivotButton="0" quotePrefix="0" xfId="0"/>
    <xf numFmtId="0" fontId="1" fillId="10" borderId="1" applyAlignment="1" pivotButton="0" quotePrefix="0" xfId="0">
      <alignment horizontal="left" vertical="center" wrapText="1"/>
    </xf>
    <xf numFmtId="9" fontId="12" fillId="10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6" fillId="4" borderId="3" applyAlignment="1" pivotButton="0" quotePrefix="0" xfId="0">
      <alignment horizontal="center" vertical="center"/>
    </xf>
    <xf numFmtId="0" fontId="0" fillId="6" borderId="0" pivotButton="0" quotePrefix="0" xfId="0"/>
    <xf numFmtId="0" fontId="17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 wrapText="1"/>
    </xf>
    <xf numFmtId="2" fontId="11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wrapText="1"/>
    </xf>
    <xf numFmtId="9" fontId="11" fillId="5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166" fontId="21" fillId="7" borderId="1" applyAlignment="1" pivotButton="0" quotePrefix="0" xfId="0">
      <alignment horizontal="center" vertical="center"/>
    </xf>
    <xf numFmtId="165" fontId="21" fillId="7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164" fontId="21" fillId="7" borderId="1" applyAlignment="1" pivotButton="0" quotePrefix="0" xfId="0">
      <alignment horizontal="center" vertical="center"/>
    </xf>
    <xf numFmtId="167" fontId="21" fillId="7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left" vertical="top" wrapText="1"/>
    </xf>
    <xf numFmtId="0" fontId="5" fillId="0" borderId="7" pivotButton="0" quotePrefix="0" xfId="0"/>
    <xf numFmtId="0" fontId="24" fillId="6" borderId="1" applyAlignment="1" pivotButton="0" quotePrefix="0" xfId="0">
      <alignment horizontal="left"/>
    </xf>
    <xf numFmtId="167" fontId="21" fillId="7" borderId="1" applyAlignment="1" pivotButton="0" quotePrefix="0" xfId="0">
      <alignment horizontal="center"/>
    </xf>
    <xf numFmtId="0" fontId="4" fillId="11" borderId="10" applyAlignment="1" pivotButton="0" quotePrefix="0" xfId="0">
      <alignment horizontal="center" vertical="center"/>
    </xf>
    <xf numFmtId="0" fontId="4" fillId="12" borderId="11" applyAlignment="1" pivotButton="0" quotePrefix="0" xfId="0">
      <alignment horizontal="center" vertical="center"/>
    </xf>
    <xf numFmtId="0" fontId="0" fillId="10" borderId="0" pivotButton="0" quotePrefix="0" xfId="0"/>
    <xf numFmtId="0" fontId="1" fillId="13" borderId="0" pivotButton="0" quotePrefix="0" xfId="0"/>
    <xf numFmtId="168" fontId="13" fillId="10" borderId="5" applyAlignment="1" pivotButton="0" quotePrefix="0" xfId="0">
      <alignment horizontal="left" vertical="center" wrapText="1"/>
    </xf>
    <xf numFmtId="164" fontId="30" fillId="14" borderId="16" applyAlignment="1" pivotButton="0" quotePrefix="0" xfId="0">
      <alignment horizontal="right" vertical="center"/>
    </xf>
    <xf numFmtId="166" fontId="31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49" fontId="31" fillId="6" borderId="1" applyAlignment="1" pivotButton="0" quotePrefix="0" xfId="0">
      <alignment horizontal="center" vertical="center"/>
    </xf>
    <xf numFmtId="164" fontId="31" fillId="5" borderId="1" applyAlignment="1" pivotButton="0" quotePrefix="0" xfId="0">
      <alignment horizontal="center" vertical="center"/>
    </xf>
    <xf numFmtId="165" fontId="31" fillId="6" borderId="1" applyAlignment="1" pivotButton="0" quotePrefix="0" xfId="0">
      <alignment horizontal="center" vertical="center"/>
    </xf>
    <xf numFmtId="9" fontId="31" fillId="6" borderId="1" applyAlignment="1" pivotButton="0" quotePrefix="0" xfId="0">
      <alignment horizontal="center" vertical="center"/>
    </xf>
    <xf numFmtId="167" fontId="31" fillId="5" borderId="1" applyAlignment="1" pivotButton="0" quotePrefix="0" xfId="0">
      <alignment horizontal="center" vertical="center"/>
    </xf>
    <xf numFmtId="3" fontId="31" fillId="6" borderId="1" applyAlignment="1" pivotButton="0" quotePrefix="0" xfId="0">
      <alignment horizontal="center" vertical="center"/>
    </xf>
    <xf numFmtId="0" fontId="30" fillId="5" borderId="0" pivotButton="0" quotePrefix="0" xfId="0"/>
    <xf numFmtId="0" fontId="30" fillId="6" borderId="0" pivotButton="0" quotePrefix="0" xfId="0"/>
    <xf numFmtId="0" fontId="33" fillId="8" borderId="1" applyAlignment="1" pivotButton="0" quotePrefix="0" xfId="0">
      <alignment horizontal="left" vertical="center" wrapText="1"/>
    </xf>
    <xf numFmtId="0" fontId="33" fillId="10" borderId="1" applyAlignment="1" pivotButton="0" quotePrefix="0" xfId="0">
      <alignment horizontal="left" vertical="center" wrapText="1"/>
    </xf>
    <xf numFmtId="0" fontId="28" fillId="15" borderId="16" applyAlignment="1" pivotButton="0" quotePrefix="0" xfId="0">
      <alignment horizontal="right" vertical="center"/>
    </xf>
    <xf numFmtId="0" fontId="0" fillId="18" borderId="0" pivotButton="0" quotePrefix="0" xfId="0"/>
    <xf numFmtId="0" fontId="35" fillId="16" borderId="16" applyAlignment="1" pivotButton="0" quotePrefix="0" xfId="0">
      <alignment horizontal="left" vertical="center"/>
    </xf>
    <xf numFmtId="0" fontId="1" fillId="18" borderId="0" pivotButton="0" quotePrefix="0" xfId="0"/>
    <xf numFmtId="0" fontId="38" fillId="18" borderId="0" pivotButton="0" quotePrefix="0" xfId="0"/>
    <xf numFmtId="0" fontId="38" fillId="18" borderId="16" applyAlignment="1" pivotButton="0" quotePrefix="0" xfId="0">
      <alignment horizontal="left" vertical="center"/>
    </xf>
    <xf numFmtId="9" fontId="38" fillId="18" borderId="19" applyAlignment="1" pivotButton="0" quotePrefix="0" xfId="0">
      <alignment horizontal="center" vertical="center"/>
    </xf>
    <xf numFmtId="0" fontId="38" fillId="18" borderId="16" applyAlignment="1" pivotButton="0" quotePrefix="0" xfId="0">
      <alignment horizontal="left" vertical="center" wrapText="1"/>
    </xf>
    <xf numFmtId="0" fontId="36" fillId="17" borderId="19" applyAlignment="1" pivotButton="0" quotePrefix="0" xfId="0">
      <alignment horizontal="center" vertical="center"/>
    </xf>
    <xf numFmtId="0" fontId="39" fillId="19" borderId="22" applyAlignment="1" pivotButton="0" quotePrefix="0" xfId="0">
      <alignment horizontal="left" vertical="center"/>
    </xf>
    <xf numFmtId="0" fontId="40" fillId="19" borderId="22" applyAlignment="1" pivotButton="0" quotePrefix="0" xfId="0">
      <alignment horizontal="left" vertical="center" wrapText="1"/>
    </xf>
    <xf numFmtId="0" fontId="42" fillId="6" borderId="0" applyAlignment="1" pivotButton="0" quotePrefix="0" xfId="0">
      <alignment horizontal="left" vertical="top" wrapText="1"/>
    </xf>
    <xf numFmtId="164" fontId="43" fillId="20" borderId="22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9" fontId="44" fillId="21" borderId="2" applyAlignment="1" pivotButton="0" quotePrefix="0" xfId="0">
      <alignment horizontal="center" vertical="center"/>
    </xf>
    <xf numFmtId="2" fontId="44" fillId="21" borderId="2" applyAlignment="1" pivotButton="0" quotePrefix="0" xfId="0">
      <alignment horizontal="center" vertical="center"/>
    </xf>
    <xf numFmtId="3" fontId="44" fillId="21" borderId="2" applyAlignment="1" pivotButton="0" quotePrefix="0" xfId="0">
      <alignment horizontal="center" vertical="center"/>
    </xf>
    <xf numFmtId="166" fontId="44" fillId="21" borderId="2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 wrapText="1"/>
    </xf>
    <xf numFmtId="164" fontId="47" fillId="0" borderId="0" applyAlignment="1" pivotButton="0" quotePrefix="0" xfId="0">
      <alignment horizontal="left" vertical="center"/>
    </xf>
    <xf numFmtId="0" fontId="46" fillId="0" borderId="0" pivotButton="0" quotePrefix="0" xfId="0"/>
    <xf numFmtId="0" fontId="47" fillId="0" borderId="0" pivotButton="0" quotePrefix="0" xfId="0"/>
    <xf numFmtId="0" fontId="49" fillId="14" borderId="25" applyAlignment="1" pivotButton="0" quotePrefix="0" xfId="0">
      <alignment horizontal="left" vertical="center" wrapText="1"/>
    </xf>
    <xf numFmtId="0" fontId="49" fillId="14" borderId="25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top" wrapText="1"/>
    </xf>
    <xf numFmtId="164" fontId="35" fillId="14" borderId="25" applyAlignment="1" pivotButton="0" quotePrefix="0" xfId="0">
      <alignment horizontal="right" vertical="center"/>
    </xf>
    <xf numFmtId="0" fontId="27" fillId="13" borderId="25" applyAlignment="1" pivotButton="0" quotePrefix="0" xfId="0">
      <alignment horizontal="center" vertical="center" wrapText="1"/>
    </xf>
    <xf numFmtId="165" fontId="50" fillId="17" borderId="25" applyAlignment="1" pivotButton="0" quotePrefix="0" xfId="0">
      <alignment horizontal="center" vertical="center"/>
    </xf>
    <xf numFmtId="0" fontId="51" fillId="22" borderId="25" applyAlignment="1" pivotButton="0" quotePrefix="0" xfId="0">
      <alignment horizontal="left" vertical="center"/>
    </xf>
    <xf numFmtId="0" fontId="52" fillId="23" borderId="25" applyAlignment="1" pivotButton="0" quotePrefix="0" xfId="0">
      <alignment horizontal="left" vertical="center" wrapText="1"/>
    </xf>
    <xf numFmtId="0" fontId="53" fillId="23" borderId="25" applyAlignment="1" pivotButton="0" quotePrefix="0" xfId="0">
      <alignment horizontal="left" vertical="top" wrapText="1"/>
    </xf>
    <xf numFmtId="0" fontId="55" fillId="14" borderId="4" applyAlignment="1" pivotButton="0" quotePrefix="0" xfId="0">
      <alignment horizontal="left" vertical="center" wrapText="1"/>
    </xf>
    <xf numFmtId="0" fontId="56" fillId="14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8" fillId="13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8" fillId="15" borderId="16" applyAlignment="1" pivotButton="0" quotePrefix="0" xfId="0">
      <alignment horizontal="left" vertical="center"/>
    </xf>
    <xf numFmtId="0" fontId="0" fillId="0" borderId="18" pivotButton="0" quotePrefix="0" xfId="0"/>
    <xf numFmtId="0" fontId="29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59" fillId="16" borderId="0" applyAlignment="1" pivotButton="0" quotePrefix="0" xfId="0">
      <alignment horizontal="left" vertical="center" wrapText="1"/>
    </xf>
    <xf numFmtId="0" fontId="59" fillId="13" borderId="0" applyAlignment="1" pivotButton="0" quotePrefix="0" xfId="0">
      <alignment horizontal="left" vertical="top" wrapText="1"/>
    </xf>
    <xf numFmtId="0" fontId="60" fillId="13" borderId="0" applyAlignment="1" pivotButton="0" quotePrefix="0" xfId="0">
      <alignment horizontal="left" vertical="center" wrapText="1"/>
    </xf>
    <xf numFmtId="0" fontId="45" fillId="16" borderId="1" applyAlignment="1" pivotButton="0" quotePrefix="0" xfId="0">
      <alignment horizontal="left" vertical="center"/>
    </xf>
    <xf numFmtId="0" fontId="61" fillId="14" borderId="25" applyAlignment="1" pivotButton="0" quotePrefix="0" xfId="0">
      <alignment horizontal="left" vertical="top" wrapText="1"/>
    </xf>
    <xf numFmtId="0" fontId="0" fillId="0" borderId="27" pivotButton="0" quotePrefix="0" xfId="0"/>
    <xf numFmtId="164" fontId="57" fillId="14" borderId="0" applyAlignment="1" pivotButton="0" quotePrefix="0" xfId="0">
      <alignment horizontal="right" vertical="center"/>
    </xf>
    <xf numFmtId="164" fontId="35" fillId="9" borderId="1" applyAlignment="1" pivotButton="0" quotePrefix="0" xfId="0">
      <alignment horizontal="left" vertical="center"/>
    </xf>
    <xf numFmtId="0" fontId="9" fillId="3" borderId="0" pivotButton="0" quotePrefix="0" xfId="0"/>
    <xf numFmtId="0" fontId="41" fillId="16" borderId="16" applyAlignment="1" pivotButton="0" quotePrefix="0" xfId="0">
      <alignment horizontal="left" vertical="center"/>
    </xf>
    <xf numFmtId="0" fontId="0" fillId="0" borderId="17" pivotButton="0" quotePrefix="0" xfId="0"/>
    <xf numFmtId="0" fontId="1" fillId="2" borderId="0" pivotButton="0" quotePrefix="0" xfId="0"/>
    <xf numFmtId="164" fontId="35" fillId="14" borderId="16" applyAlignment="1" pivotButton="0" quotePrefix="0" xfId="0">
      <alignment horizontal="left" vertical="center"/>
    </xf>
    <xf numFmtId="0" fontId="1" fillId="4" borderId="0" pivotButton="0" quotePrefix="0" xfId="0"/>
    <xf numFmtId="0" fontId="61" fillId="14" borderId="16" applyAlignment="1" pivotButton="0" quotePrefix="0" xfId="0">
      <alignment horizontal="left" vertical="top" wrapText="1"/>
    </xf>
    <xf numFmtId="0" fontId="45" fillId="16" borderId="1" applyAlignment="1" pivotButton="0" quotePrefix="0" xfId="0">
      <alignment horizontal="left" vertical="center" wrapText="1"/>
    </xf>
    <xf numFmtId="0" fontId="37" fillId="18" borderId="20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21" pivotButton="0" quotePrefix="0" xfId="0"/>
    <xf numFmtId="164" fontId="35" fillId="19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58" fillId="13" borderId="0" applyAlignment="1" pivotButton="0" quotePrefix="0" xfId="0">
      <alignment horizontal="left" vertical="center"/>
    </xf>
    <xf numFmtId="0" fontId="1" fillId="3" borderId="0" pivotButton="0" quotePrefix="0" xfId="0"/>
    <xf numFmtId="0" fontId="15" fillId="2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left" vertical="center" wrapText="1"/>
    </xf>
    <xf numFmtId="0" fontId="54" fillId="23" borderId="25" applyAlignment="1" pivotButton="0" quotePrefix="0" xfId="0">
      <alignment horizontal="left" vertical="top" wrapText="1"/>
    </xf>
    <xf numFmtId="0" fontId="0" fillId="0" borderId="26" pivotButton="0" quotePrefix="0" xfId="0"/>
    <xf numFmtId="0" fontId="51" fillId="22" borderId="25" applyAlignment="1" pivotButton="0" quotePrefix="0" xfId="0">
      <alignment horizontal="left" vertical="center"/>
    </xf>
    <xf numFmtId="0" fontId="27" fillId="13" borderId="0" applyAlignment="1" pivotButton="0" quotePrefix="0" xfId="0">
      <alignment horizontal="left" vertical="center"/>
    </xf>
    <xf numFmtId="0" fontId="26" fillId="11" borderId="0" applyAlignment="1" pivotButton="0" quotePrefix="0" xfId="0">
      <alignment horizontal="center" vertical="center"/>
    </xf>
    <xf numFmtId="0" fontId="0" fillId="2" borderId="0" pivotButton="0" quotePrefix="0" xfId="0"/>
    <xf numFmtId="0" fontId="34" fillId="11" borderId="0" applyAlignment="1" pivotButton="0" quotePrefix="0" xfId="0">
      <alignment horizontal="center" vertical="center"/>
    </xf>
    <xf numFmtId="0" fontId="26" fillId="12" borderId="0" applyAlignment="1" pivotButton="0" quotePrefix="0" xfId="0">
      <alignment horizontal="center" vertical="center"/>
    </xf>
    <xf numFmtId="0" fontId="32" fillId="2" borderId="0" applyAlignment="1" pivotButton="0" quotePrefix="0" xfId="0">
      <alignment horizontal="left" vertical="center"/>
    </xf>
    <xf numFmtId="0" fontId="4" fillId="11" borderId="8" applyAlignment="1" pivotButton="0" quotePrefix="0" xfId="0">
      <alignment horizontal="center" vertical="center"/>
    </xf>
    <xf numFmtId="0" fontId="0" fillId="0" borderId="14" pivotButton="0" quotePrefix="0" xfId="0"/>
    <xf numFmtId="0" fontId="34" fillId="12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12" borderId="9" applyAlignment="1" pivotButton="0" quotePrefix="0" xfId="0">
      <alignment horizontal="center" vertical="center"/>
    </xf>
    <xf numFmtId="0" fontId="0" fillId="0" borderId="15" pivotButton="0" quotePrefix="0" xfId="0"/>
    <xf numFmtId="0" fontId="25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62" fillId="2" borderId="0" applyAlignment="1" pivotButton="0" quotePrefix="0" xfId="0">
      <alignment horizontal="left" vertical="center" wrapText="1"/>
    </xf>
    <xf numFmtId="0" fontId="63" fillId="0" borderId="0" pivotButton="0" quotePrefix="0" xfId="0"/>
    <xf numFmtId="49" fontId="6" fillId="17" borderId="2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/>
    </xf>
    <xf numFmtId="0" fontId="7" fillId="6" borderId="16" applyAlignment="1" pivotButton="0" quotePrefix="0" xfId="0">
      <alignment horizontal="left" vertical="center" wrapText="1"/>
    </xf>
    <xf numFmtId="0" fontId="45" fillId="16" borderId="16" applyAlignment="1" pivotButton="0" quotePrefix="0" xfId="0">
      <alignment horizontal="left" vertical="center"/>
    </xf>
    <xf numFmtId="0" fontId="29" fillId="6" borderId="16" applyAlignment="1" pivotButton="0" quotePrefix="0" xfId="0">
      <alignment horizontal="left" vertical="center" wrapText="1"/>
    </xf>
    <xf numFmtId="166" fontId="44" fillId="21" borderId="2" applyAlignment="1" pivotButton="0" quotePrefix="0" xfId="0">
      <alignment horizontal="center" vertical="center"/>
    </xf>
    <xf numFmtId="0" fontId="45" fillId="16" borderId="16" applyAlignment="1" pivotButton="0" quotePrefix="0" xfId="0">
      <alignment horizontal="left" vertical="center" wrapText="1"/>
    </xf>
    <xf numFmtId="164" fontId="35" fillId="9" borderId="16" applyAlignment="1" pivotButton="0" quotePrefix="0" xfId="0">
      <alignment horizontal="left" vertical="center"/>
    </xf>
    <xf numFmtId="164" fontId="35" fillId="19" borderId="16" applyAlignment="1" pivotButton="0" quotePrefix="0" xfId="0">
      <alignment horizontal="left" vertical="center"/>
    </xf>
    <xf numFmtId="168" fontId="13" fillId="10" borderId="5" applyAlignment="1" pivotButton="0" quotePrefix="0" xfId="0">
      <alignment horizontal="left" vertical="center" wrapText="1"/>
    </xf>
    <xf numFmtId="166" fontId="31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165" fontId="31" fillId="6" borderId="1" applyAlignment="1" pivotButton="0" quotePrefix="0" xfId="0">
      <alignment horizontal="center" vertical="center"/>
    </xf>
    <xf numFmtId="167" fontId="3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5" fontId="47" fillId="0" borderId="0" applyAlignment="1" pivotButton="0" quotePrefix="0" xfId="0">
      <alignment horizontal="left" vertical="center"/>
    </xf>
    <xf numFmtId="166" fontId="21" fillId="7" borderId="1" applyAlignment="1" pivotButton="0" quotePrefix="0" xfId="0">
      <alignment horizontal="center" vertical="center"/>
    </xf>
    <xf numFmtId="165" fontId="21" fillId="7" borderId="1" applyAlignment="1" pivotButton="0" quotePrefix="0" xfId="0">
      <alignment horizontal="center" vertical="center"/>
    </xf>
    <xf numFmtId="167" fontId="21" fillId="7" borderId="1" applyAlignment="1" pivotButton="0" quotePrefix="0" xfId="0">
      <alignment horizontal="center" vertical="center"/>
    </xf>
    <xf numFmtId="165" fontId="50" fillId="17" borderId="25" applyAlignment="1" pivotButton="0" quotePrefix="0" xfId="0">
      <alignment horizontal="center" vertical="center"/>
    </xf>
    <xf numFmtId="167" fontId="21" fillId="7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166534"/>
      <rgbColor rgb="FFC0C0C0"/>
      <rgbColor rgb="FF5A7A96"/>
      <rgbColor rgb="FF9999FF"/>
      <rgbColor rgb="FFB45309"/>
      <rgbColor rgb="FFFFFDE7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FEF2F2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8CA0B8"/>
      <rgbColor rgb="FF263C52"/>
      <rgbColor rgb="FF00B140"/>
      <rgbColor rgb="FF003300"/>
      <rgbColor rgb="FF333300"/>
      <rgbColor rgb="FFB91C1C"/>
      <rgbColor rgb="FF993366"/>
      <rgbColor rgb="FF333399"/>
      <rgbColor rgb="FF1D2D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Veeam ROI Calculator</author>
  </authors>
  <commentList>
    <comment ref="C12" authorId="0" shapeId="0">
      <text>
        <t>Tip: The dropdown uses mid-point estimates for each band.
If you know the exact annual revenue, go to the 'Assumptions' sheet
and type the exact figure (in USD) directly into cell C20 —
it will override the band estimate for all calculations.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B140"/>
    <outlinePr summaryBelow="1" summaryRight="1"/>
    <pageSetUpPr/>
  </sheetPr>
  <dimension ref="A1:G56"/>
  <sheetViews>
    <sheetView showGridLines="0" tabSelected="1" zoomScaleNormal="100" workbookViewId="0">
      <pane xSplit="1" ySplit="6" topLeftCell="B9" activePane="bottomRight" state="frozen"/>
      <selection pane="topRight" activeCell="B1" sqref="B1"/>
      <selection pane="bottomLeft" activeCell="A7" sqref="A7"/>
      <selection pane="bottomRight" activeCell="B17" sqref="B17"/>
    </sheetView>
  </sheetViews>
  <sheetFormatPr baseColWidth="10" defaultColWidth="8.6640625" defaultRowHeight="15"/>
  <cols>
    <col width="3" customWidth="1" style="114" min="1" max="1"/>
    <col width="38" customWidth="1" style="114" min="2" max="2"/>
    <col width="30" customWidth="1" style="114" min="3" max="3"/>
    <col width="55" customWidth="1" style="114" min="4" max="4"/>
    <col width="30" customWidth="1" style="114" min="5" max="7"/>
  </cols>
  <sheetData>
    <row r="1" ht="36" customHeight="1" s="114">
      <c r="A1" s="130" t="n"/>
    </row>
    <row r="2" ht="22" customHeight="1" s="114">
      <c r="A2" s="140" t="inlineStr">
        <is>
          <t>Veeam Data Cloud for Microsoft 365</t>
        </is>
      </c>
    </row>
    <row r="3" ht="22" customHeight="1" s="114">
      <c r="A3" s="139" t="inlineStr">
        <is>
          <t>Risk &amp; ROI Calculator  |  ASEAN &amp; South Korea</t>
        </is>
      </c>
    </row>
    <row r="4" ht="14" customHeight="1" s="114">
      <c r="A4" s="162" t="inlineStr">
        <is>
          <t>Fill in the yellow-highlighted cells below. All other cells are calculated automatically.</t>
        </is>
      </c>
    </row>
    <row r="5" ht="4" customHeight="1" s="114">
      <c r="A5" s="142" t="n"/>
    </row>
    <row r="6" ht="14" customHeight="1" s="114">
      <c r="A6" s="132" t="n"/>
    </row>
    <row r="7" ht="30" customHeight="1" s="114">
      <c r="A7" s="60" t="n"/>
      <c r="B7" s="113" t="inlineStr">
        <is>
          <t>▌  STEP 1 — CUSTOMER PROFILE</t>
        </is>
      </c>
      <c r="G7" s="60" t="n"/>
    </row>
    <row r="8" ht="28" customHeight="1" s="114">
      <c r="A8" s="3" t="n"/>
      <c r="B8" s="4" t="inlineStr">
        <is>
          <t>Organisation / Business Unit</t>
        </is>
      </c>
      <c r="C8" s="92" t="n"/>
      <c r="D8" s="166" t="inlineStr">
        <is>
          <t>Optional — used to personalise the report</t>
        </is>
      </c>
      <c r="E8" s="129" t="n"/>
      <c r="F8" s="116" t="n"/>
      <c r="G8" s="3" t="n"/>
    </row>
    <row r="9" ht="28" customHeight="1" s="114">
      <c r="A9" s="3" t="n"/>
      <c r="B9" s="4" t="inlineStr">
        <is>
          <t>Country</t>
        </is>
      </c>
      <c r="C9" s="5" t="inlineStr">
        <is>
          <t>Singapore</t>
        </is>
      </c>
      <c r="D9" s="166" t="inlineStr">
        <is>
          <t>Select from dropdown ▾  (Singapore · Indonesia · Thailand · Philippines · Malaysia · South Korea)</t>
        </is>
      </c>
      <c r="E9" s="129" t="n"/>
      <c r="F9" s="116" t="n"/>
      <c r="G9" s="3" t="n"/>
    </row>
    <row r="10" ht="28" customHeight="1" s="114">
      <c r="A10" s="3" t="n"/>
      <c r="B10" s="4" t="inlineStr">
        <is>
          <t>Industry</t>
        </is>
      </c>
      <c r="C10" s="5" t="inlineStr">
        <is>
          <t>Financial</t>
        </is>
      </c>
      <c r="D10" s="166" t="inlineStr">
        <is>
          <t>Select from dropdown ▾  (Financial · Healthcare · Legal · Tech · Retail · Manufacturing · Other)</t>
        </is>
      </c>
      <c r="E10" s="129" t="n"/>
      <c r="F10" s="116" t="n"/>
      <c r="G10" s="3" t="n"/>
    </row>
    <row r="11" ht="28" customHeight="1" s="114">
      <c r="A11" s="3" t="n"/>
      <c r="B11" s="4" t="inlineStr">
        <is>
          <t>Number of M365 Users</t>
        </is>
      </c>
      <c r="C11" s="6" t="n">
        <v>5000</v>
      </c>
      <c r="D11" s="166" t="inlineStr">
        <is>
          <t>Total licensed M365 users (mailboxes + Teams + SharePoint)</t>
        </is>
      </c>
      <c r="E11" s="129" t="n"/>
      <c r="F11" s="116" t="n"/>
      <c r="G11" s="3" t="n"/>
    </row>
    <row r="12" ht="28" customHeight="1" s="114">
      <c r="A12" s="3" t="n"/>
      <c r="B12" s="4" t="inlineStr">
        <is>
          <t>Annual Revenue (USD)</t>
        </is>
      </c>
      <c r="C12" s="164" t="inlineStr">
        <is>
          <t>USD 50M – 500M</t>
        </is>
      </c>
      <c r="D12" s="167" t="inlineStr">
        <is>
          <t>Select from dropdown ▾  (Under USD 50M · USD 50M–500M · USD 500M–2B · USD 2B–10B · Over USD 10B)</t>
        </is>
      </c>
      <c r="E12" s="129" t="n"/>
      <c r="F12" s="116" t="n"/>
      <c r="G12" s="3" t="n"/>
    </row>
    <row r="13" ht="42" customHeight="1" s="114">
      <c r="A13" s="3" t="n"/>
      <c r="B13" s="4" t="inlineStr">
        <is>
          <t>Veeam Quote — Total Annual (USD)</t>
        </is>
      </c>
      <c r="C13" s="92" t="n"/>
      <c r="D13" s="166" t="inlineStr">
        <is>
          <t>Optional — enter your TOTAL annual quote (tax-inclusive). Leave blank to use indicative estimate of USD 88.20/user/yr + local tax for VDC Premium tier.</t>
        </is>
      </c>
      <c r="E13" s="129" t="n"/>
      <c r="F13" s="116" t="n"/>
      <c r="G13" s="3" t="n"/>
    </row>
    <row r="14" ht="28" customHeight="1" s="114">
      <c r="A14" s="76" t="n"/>
      <c r="B14" s="77" t="inlineStr">
        <is>
          <t>Prior M365 data loss incident?</t>
        </is>
      </c>
      <c r="C14" s="83" t="inlineStr">
        <is>
          <t>No</t>
        </is>
      </c>
      <c r="D14" s="128" t="inlineStr">
        <is>
          <t>Applies recurrence rate to probability of data loss</t>
        </is>
      </c>
      <c r="E14" s="129" t="n"/>
      <c r="F14" s="116" t="n"/>
      <c r="G14" s="76" t="n"/>
    </row>
    <row r="15" ht="30" customHeight="1" s="114">
      <c r="A15" s="60" t="n"/>
      <c r="B15" s="165" t="inlineStr">
        <is>
          <t>▌  STEP 2 — KEY ASSUMPTIONS  (blue cells are editable — regulatory fines, tax rates &amp; country data editable in the 'Assumptions' sheet)</t>
        </is>
      </c>
      <c r="G15" s="60" t="n"/>
    </row>
    <row r="16" ht="55" customHeight="1" s="114">
      <c r="A16" s="3" t="n"/>
      <c r="B16" s="7" t="inlineStr">
        <is>
          <t>Base annual probability of M365 data loss</t>
        </is>
      </c>
      <c r="C16" s="90" t="n">
        <v>0.35</v>
      </c>
      <c r="D16" s="168" t="inlineStr">
        <is>
          <t>Sophos State of Ransomware 2024 + Veeam DPTP 2025; covers ransomware, accidental deletion, insider threats &amp; sync corruption</t>
        </is>
      </c>
      <c r="E16" s="129" t="n"/>
      <c r="F16" s="116" t="n"/>
      <c r="G16" s="3" t="n"/>
    </row>
    <row r="17" ht="42" customHeight="1" s="114">
      <c r="A17" s="3" t="n"/>
      <c r="B17" s="7" t="inlineStr">
        <is>
          <t>Prior incident recurrence multiplier</t>
        </is>
      </c>
      <c r="C17" s="91" t="n">
        <v>1.65</v>
      </c>
      <c r="D17" s="168" t="inlineStr">
        <is>
          <t>Applied only when 'Prior incident = Yes' (see Step 1). Coveware Q4 2023 — 78% recurrence rate among orgs that experienced an attack</t>
        </is>
      </c>
      <c r="E17" s="129" t="n"/>
      <c r="F17" s="116" t="n"/>
      <c r="G17" s="3" t="n"/>
    </row>
    <row r="18" ht="42" customHeight="1" s="114">
      <c r="A18" s="3" t="n"/>
      <c r="B18" s="7" t="inlineStr">
        <is>
          <t>Affected users (% of total)</t>
        </is>
      </c>
      <c r="C18" s="90" t="n">
        <v>0.7</v>
      </c>
      <c r="D18" s="168" t="inlineStr">
        <is>
          <t>Microsoft Work Trend Index 2024 — 70% of M365 users have primary workflow dependency</t>
        </is>
      </c>
      <c r="E18" s="129" t="n"/>
      <c r="F18" s="116" t="n"/>
      <c r="G18" s="3" t="n"/>
    </row>
    <row r="19" ht="80" customHeight="1" s="114">
      <c r="A19" s="3" t="n"/>
      <c r="B19" s="7" t="inlineStr">
        <is>
          <t>Recovery period without Veeam (days)</t>
        </is>
      </c>
      <c r="C19" s="92" t="n">
        <v>15</v>
      </c>
      <c r="D19" s="168" t="inlineStr">
        <is>
          <t>Coveware Q4 2023 — median 22 days for full ransomware; 15 days for M365-specific scenarios. Productivity is modelled as a decay curve (Days 1–2: 90% impaired → Days 3–7: 50% → Days 8–15: 20%), giving ~39% effective loss factor.</t>
        </is>
      </c>
      <c r="E19" s="129" t="n"/>
      <c r="F19" s="116" t="n"/>
      <c r="G19" s="3" t="n"/>
    </row>
    <row r="20" ht="56" customHeight="1" s="114">
      <c r="A20" s="3" t="n"/>
      <c r="B20" s="7" t="inlineStr">
        <is>
          <t>Base VDC price per user per year (USD)</t>
        </is>
      </c>
      <c r="C20" s="169" t="n">
        <v>88.2</v>
      </c>
      <c r="D20" s="170" t="inlineStr">
        <is>
          <t>Indicative assessment of USD 88.20/user/yr for Veeam Data Cloud for M365 — VDC Premium tier. Actual price may vary. Contact Veeam for a formal quote.</t>
        </is>
      </c>
      <c r="E20" s="129" t="n"/>
      <c r="F20" s="116" t="n"/>
      <c r="G20" s="3" t="n"/>
    </row>
    <row r="21" ht="10" customHeight="1" s="114">
      <c r="A21" s="79" t="n"/>
      <c r="B21" s="80" t="n"/>
      <c r="C21" s="81" t="n"/>
      <c r="D21" s="82" t="n"/>
      <c r="E21" s="79" t="n"/>
      <c r="F21" s="79" t="n"/>
      <c r="G21" s="79" t="n"/>
    </row>
    <row r="22" ht="10" customHeight="1" s="114">
      <c r="A22" s="8" t="n"/>
      <c r="B22" s="118" t="n"/>
      <c r="G22" s="8" t="n"/>
    </row>
    <row r="23" ht="30" customHeight="1" s="114">
      <c r="A23" s="60" t="n"/>
      <c r="B23" s="113" t="inlineStr">
        <is>
          <t>▌  STEP 3 — RISK EXPOSURE BREAKDOWN</t>
        </is>
      </c>
      <c r="G23" s="60" t="n"/>
    </row>
    <row r="24" ht="28" customHeight="1" s="114">
      <c r="A24" s="3" t="n"/>
      <c r="B24" s="9" t="inlineStr">
        <is>
          <t>Component</t>
        </is>
      </c>
      <c r="C24" s="10" t="inlineStr">
        <is>
          <t>Formula Basis</t>
        </is>
      </c>
      <c r="D24" s="75" t="inlineStr">
        <is>
          <t>Value (USD)</t>
        </is>
      </c>
      <c r="E24" s="115" t="inlineStr">
        <is>
          <t>Source</t>
        </is>
      </c>
      <c r="F24" s="116" t="n"/>
      <c r="G24" s="3" t="n"/>
    </row>
    <row r="25" ht="70" customHeight="1" s="114">
      <c r="A25" s="3" t="n"/>
      <c r="B25" s="11" t="inlineStr">
        <is>
          <t>Productivity loss</t>
        </is>
      </c>
      <c r="C25" s="12" t="inlineStr">
        <is>
          <t>Affected users × avg. daily wage × phased recovery: Days 1–2 @ 90% impaired, Days 3–7 @ 50%, Days 8–15 @ 20% (≈39% effective loss factor vs flat 100%)</t>
        </is>
      </c>
      <c r="D25" s="62">
        <f>ROUND(C11*C18,0)*Assumptions!C5*(MIN(2,C19)*0.9+MAX(0,MIN(5,C19-2))*0.5+MAX(0,C19-7)*0.2)</f>
        <v/>
      </c>
      <c r="E25" s="133" t="inlineStr">
        <is>
          <t>Phased decay model — Days 1–2: 90% impaired (Coveware Q4 2023: immediate disruption); Days 3–7: 50% impaired (partial workarounds); Days 8–15: 20% impaired (progressive restoration). Effective lost days: 5.9 of 15. Microsoft Work Trend Index 2024 (70% M365 dependency); ILO Global Wage Report 2024.</t>
        </is>
      </c>
      <c r="F25" s="116" t="n"/>
      <c r="G25" s="3" t="n"/>
    </row>
    <row r="26" ht="42" customHeight="1" s="114">
      <c r="A26" s="3" t="n"/>
      <c r="B26" s="11" t="inlineStr">
        <is>
          <t>IT recovery &amp; professional services</t>
        </is>
      </c>
      <c r="C26" s="12" t="inlineStr">
        <is>
          <t>Base USD 15,000 + per-user component (scaled by org size)</t>
        </is>
      </c>
      <c r="D26" s="62">
        <f>15000+C11*IF(C11&gt;1000,35,50)</f>
        <v/>
      </c>
      <c r="E26" s="133" t="inlineStr">
        <is>
          <t>Veeam Ransomware Trends Report 2024</t>
        </is>
      </c>
      <c r="F26" s="116" t="n"/>
      <c r="G26" s="3" t="n"/>
    </row>
    <row r="27" ht="56" customHeight="1" s="114">
      <c r="A27" s="3" t="n"/>
      <c r="B27" s="11" t="inlineStr">
        <is>
          <t>Regulatory fine exposure (risk-weighted)</t>
        </is>
      </c>
      <c r="C27" s="12" t="inlineStr">
        <is>
          <t>Gross statutory fine × enforcement probability</t>
        </is>
      </c>
      <c r="D27" s="62">
        <f>IF(Assumptions!C13=1,Assumptions!C20*Assumptions!C10,IF(Assumptions!C9&gt;0,Assumptions!C20*Assumptions!C9,Assumptions!C8))*Assumptions!C11</f>
        <v/>
      </c>
      <c r="E27" s="133" t="inlineStr">
        <is>
          <t>Country data protection regulation (see Ref sheet)</t>
        </is>
      </c>
      <c r="F27" s="116" t="n"/>
      <c r="G27" s="3" t="n"/>
    </row>
    <row r="28" ht="56" customHeight="1" s="114">
      <c r="B28" s="98" t="inlineStr">
        <is>
          <t>Customer impact exposure (risk-weighted)</t>
        </is>
      </c>
      <c r="C28" s="99" t="inlineStr">
        <is>
          <t>Annual revenue × industry customer-impact factor (lost-business proxy)</t>
        </is>
      </c>
      <c r="D28" s="102">
        <f>Assumptions!C20*Assumptions!C22</f>
        <v/>
      </c>
      <c r="E28" s="123" t="inlineStr">
        <is>
          <t>IBM Cost of a Data Breach 2024 (Ponemon Institute) — 'lost business' component ~$1.47M globally per breach. Industry factors as % of annual revenue.</t>
        </is>
      </c>
      <c r="F28" s="124" t="n"/>
    </row>
    <row r="29" ht="30" customHeight="1" s="114">
      <c r="A29" s="3" t="n"/>
      <c r="B29" s="13" t="inlineStr">
        <is>
          <t>Total estimated cost — single incident</t>
        </is>
      </c>
      <c r="C29" s="12" t="inlineStr">
        <is>
          <t>Sum of all four components above</t>
        </is>
      </c>
      <c r="D29" s="131">
        <f>D25+D26+D27+D28</f>
        <v/>
      </c>
      <c r="E29" s="129" t="n"/>
      <c r="F29" s="116" t="n"/>
      <c r="G29" s="3" t="n"/>
    </row>
    <row r="30" ht="42" customHeight="1" s="114">
      <c r="A30" s="3" t="n"/>
      <c r="B30" s="108" t="inlineStr">
        <is>
          <t>RISK-ADJUSTED ANNUAL EXPOSURE (without Veeam)</t>
        </is>
      </c>
      <c r="C30" s="109" t="inlineStr">
        <is>
          <t>Total incident cost × effective annual probability</t>
        </is>
      </c>
      <c r="D30" s="125">
        <f>D29*Assumptions!C14</f>
        <v/>
      </c>
      <c r="G30" s="3" t="n"/>
    </row>
    <row r="31" ht="10" customHeight="1" s="114">
      <c r="A31" s="8" t="n"/>
      <c r="B31" s="118" t="n"/>
      <c r="G31" s="8" t="n"/>
    </row>
    <row r="32" ht="30" customHeight="1" s="114">
      <c r="A32" s="60" t="n"/>
      <c r="B32" s="141" t="inlineStr">
        <is>
          <t>▌  STEP 4 — VEEAM VDC INVESTMENT &amp; PROTECTION RATIO</t>
        </is>
      </c>
      <c r="G32" s="60" t="n"/>
    </row>
    <row r="33" ht="28" customHeight="1" s="114">
      <c r="A33" s="3" t="n"/>
      <c r="B33" s="14" t="inlineStr">
        <is>
          <t>VDC annual base cost (before tax)</t>
        </is>
      </c>
      <c r="C33" s="15" t="inlineStr">
        <is>
          <t>Users × effective price per user (quote backed out of tax-inclusive total)</t>
        </is>
      </c>
      <c r="D33" s="171">
        <f>C11*Assumptions!C15</f>
        <v/>
      </c>
      <c r="E33" s="129" t="n"/>
      <c r="F33" s="116" t="n"/>
      <c r="G33" s="3" t="n"/>
    </row>
    <row r="34" ht="28" customHeight="1" s="114">
      <c r="A34" s="3" t="n"/>
      <c r="B34" s="14" t="inlineStr">
        <is>
          <t>Local tax (applied per country)</t>
        </is>
      </c>
      <c r="C34" s="15">
        <f>CONCATENATE(Assumptions!C7," applied on base cost")</f>
        <v/>
      </c>
      <c r="D34" s="172">
        <f>D33*Assumptions!C6</f>
        <v/>
      </c>
      <c r="E34" s="129" t="n"/>
      <c r="F34" s="116" t="n"/>
      <c r="G34" s="3" t="n"/>
    </row>
    <row r="35" ht="30" customHeight="1" s="114">
      <c r="A35" s="78" t="n"/>
      <c r="B35" s="84" t="inlineStr">
        <is>
          <t>TOTAL ANNUAL COST OF VEEAM VDC (incl. tax)</t>
        </is>
      </c>
      <c r="C35" s="85" t="inlineStr">
        <is>
          <t>Base cost + local tax</t>
        </is>
      </c>
      <c r="D35" s="87">
        <f>D33+D34</f>
        <v/>
      </c>
      <c r="E35" s="88" t="n"/>
      <c r="F35" s="89" t="n"/>
      <c r="G35" s="78" t="n"/>
    </row>
    <row r="36" ht="10" customHeight="1" s="114">
      <c r="A36" s="8" t="n"/>
      <c r="B36" s="16" t="n"/>
      <c r="G36" s="8" t="n"/>
    </row>
    <row r="37" ht="28" customHeight="1" s="114">
      <c r="A37" s="3" t="n"/>
      <c r="B37" s="17" t="inlineStr">
        <is>
          <t>PROTECTION RATIO</t>
        </is>
      </c>
      <c r="C37" s="18" t="inlineStr">
        <is>
          <t>Risk-adjusted exposure ÷ Veeam annual cost</t>
        </is>
      </c>
      <c r="D37" s="173">
        <f>IFERROR(D30/D35,0)</f>
        <v/>
      </c>
      <c r="E37" s="19" t="n"/>
      <c r="F37" s="20" t="n"/>
      <c r="G37" s="3" t="n"/>
    </row>
    <row r="38" ht="28" customHeight="1" s="114">
      <c r="A38" s="3" t="n"/>
      <c r="B38" s="21" t="inlineStr">
        <is>
          <t>Expected annual loss avoidance (probability-weighted)</t>
        </is>
      </c>
      <c r="C38" s="22" t="inlineStr">
        <is>
          <t>Risk-adjusted annual exposure minus Veeam annual cost — an expected value, not a guaranteed saving</t>
        </is>
      </c>
      <c r="D38" s="23">
        <f>D30-D35</f>
        <v/>
      </c>
      <c r="E38" s="24" t="n"/>
      <c r="F38" s="25" t="n"/>
      <c r="G38" s="3" t="n"/>
    </row>
    <row r="39" ht="28" customHeight="1" s="114">
      <c r="A39" s="3" t="n"/>
      <c r="B39" s="21" t="inlineStr">
        <is>
          <t>Return on investment (expected value basis)</t>
        </is>
      </c>
      <c r="C39" s="22" t="inlineStr">
        <is>
          <t>Net expected value as % of Veeam investment</t>
        </is>
      </c>
      <c r="D39" s="26">
        <f>IFERROR((D30-D35)/D35,0)</f>
        <v/>
      </c>
      <c r="E39" s="24" t="n"/>
      <c r="F39" s="25" t="n"/>
      <c r="G39" s="3" t="n"/>
    </row>
    <row r="40" ht="10" customHeight="1" s="114">
      <c r="A40" s="78" t="n"/>
      <c r="B40" s="135" t="n"/>
      <c r="C40" s="136" t="n"/>
      <c r="D40" s="136" t="n"/>
      <c r="E40" s="136" t="n"/>
      <c r="F40" s="137" t="n"/>
      <c r="G40" s="78" t="n"/>
    </row>
    <row r="41" ht="30" customHeight="1" s="114">
      <c r="A41" s="60" t="n"/>
      <c r="B41" s="113" t="inlineStr">
        <is>
          <t>▌  SUMMARY</t>
        </is>
      </c>
      <c r="G41" s="60" t="n"/>
    </row>
    <row r="42" ht="72" customHeight="1" s="114">
      <c r="A42" s="130" t="n"/>
      <c r="B42" s="121">
        <f>"Annual risk exposure: "&amp;TEXT(D30,"$#,##0")&amp;"  ·  Veeam annual cost: "&amp;TEXT(D35,"$#,##0")&amp;"  ·  Protection ratio: "&amp;TEXT(D37,"0.0")&amp;"×  (every $1 invested covers $"&amp;TEXT(D37,"0.0")&amp;" of risk exposure)  ·  Net expected annual savings: "&amp;TEXT(D38,"$#,##0")&amp;IF(D37&lt;1," ⚠  Protection ratio below 1.0× at this org size — consider requesting a volume-adjusted Veeam quote.",".")</f>
        <v/>
      </c>
      <c r="G42" s="130" t="n"/>
    </row>
    <row r="43" ht="44" customHeight="1" s="114">
      <c r="A43" s="130" t="n"/>
      <c r="B43" s="120">
        <f>C9&amp;" · "&amp;C10&amp;" · "&amp;TEXT(C11,"#,##0")&amp;" M365 users · "&amp;TEXT(Assumptions!C14,"0.0%")&amp;" effective annual incident probability"&amp;CHAR(10)&amp;"Customer impact ("&amp;TEXT(Assumptions!C22,"0.0%")&amp;" of annual revenue): "&amp;TEXT(D28,"$#,##0")&amp;" — IBM Cost of a Data Breach 2024 (Ponemon), 'lost business' component"</f>
        <v/>
      </c>
      <c r="G43" s="130" t="n"/>
    </row>
    <row r="44" ht="10" customHeight="1" s="114">
      <c r="A44" s="142" t="n"/>
      <c r="B44" s="127" t="n"/>
      <c r="G44" s="142" t="n"/>
    </row>
    <row r="45" ht="40" customHeight="1" s="114">
      <c r="A45" s="8" t="n"/>
      <c r="B45" s="118" t="n"/>
      <c r="G45" s="8" t="n"/>
    </row>
    <row r="46" ht="48" customHeight="1" s="114">
      <c r="A46" s="3" t="n"/>
      <c r="B46" s="119" t="inlineStr">
        <is>
          <t>⚠  This workbook is an illustrative presales tool. All figures are modelled estimates derived from published third-party research and publicly available regulatory frameworks. Actual costs, probabilities, and penalties will vary by organisation. This tool does not constitute legal, financial, or compliance advice. © Veeam Software</t>
        </is>
      </c>
      <c r="G46" s="3" t="n"/>
    </row>
    <row r="51" ht="15" customHeight="1" s="114"/>
    <row r="52" ht="15" customHeight="1" s="114"/>
    <row r="53" ht="15" customHeight="1" s="114"/>
    <row r="56" ht="15" customHeight="1" s="114"/>
  </sheetData>
  <mergeCells count="44">
    <mergeCell ref="D11:F11"/>
    <mergeCell ref="D13:F13"/>
    <mergeCell ref="B7:F7"/>
    <mergeCell ref="E24:F24"/>
    <mergeCell ref="A4:G4"/>
    <mergeCell ref="B31:F31"/>
    <mergeCell ref="B46:F46"/>
    <mergeCell ref="D17:F17"/>
    <mergeCell ref="B22:F22"/>
    <mergeCell ref="D16:F16"/>
    <mergeCell ref="B56:F56"/>
    <mergeCell ref="B52:F52"/>
    <mergeCell ref="B43:F43"/>
    <mergeCell ref="B42:F42"/>
    <mergeCell ref="D18:F18"/>
    <mergeCell ref="E28:F28"/>
    <mergeCell ref="D12:F12"/>
    <mergeCell ref="D9:F9"/>
    <mergeCell ref="B23:F23"/>
    <mergeCell ref="D30:F30"/>
    <mergeCell ref="D8:F8"/>
    <mergeCell ref="D33:F33"/>
    <mergeCell ref="B53:F53"/>
    <mergeCell ref="B44:F44"/>
    <mergeCell ref="D14:F14"/>
    <mergeCell ref="D29:F29"/>
    <mergeCell ref="A1:G1"/>
    <mergeCell ref="B45:D45"/>
    <mergeCell ref="A6:G6"/>
    <mergeCell ref="E27:F27"/>
    <mergeCell ref="E26:F26"/>
    <mergeCell ref="D20:F20"/>
    <mergeCell ref="B40:F40"/>
    <mergeCell ref="D34:F34"/>
    <mergeCell ref="D10:F10"/>
    <mergeCell ref="D19:F19"/>
    <mergeCell ref="A3:G3"/>
    <mergeCell ref="E25:F25"/>
    <mergeCell ref="B15:F15"/>
    <mergeCell ref="B51:F51"/>
    <mergeCell ref="A2:G2"/>
    <mergeCell ref="B32:F32"/>
    <mergeCell ref="B41:F41"/>
    <mergeCell ref="A5:G5"/>
  </mergeCells>
  <dataValidations count="4">
    <dataValidation sqref="C9" showDropDown="0" showInputMessage="0" showErrorMessage="1" allowBlank="0" errorTitle="Invalid entry" error="Please select a country from the list." type="list">
      <formula1>"Singapore,Indonesia,Thailand,Philippines,Malaysia,South Korea,Vietnam"</formula1>
    </dataValidation>
    <dataValidation sqref="C10" showDropDown="0" showInputMessage="0" showErrorMessage="1" allowBlank="0" errorTitle="Invalid entry" error="Please select an industry from the list." type="list">
      <formula1>"Financial,Healthcare,Legal,Tech,Retail,Manufacturing,Other"</formula1>
    </dataValidation>
    <dataValidation sqref="C12" showDropDown="0" showInputMessage="0" showErrorMessage="1" allowBlank="0" errorTitle="Invalid entry" error="Please select a revenue band from the list." type="list">
      <formula1>"Under USD 50M,USD 50M – 500M,USD 500M – 2B,USD 2B – 10B,Over USD 10B"</formula1>
    </dataValidation>
    <dataValidation sqref="C14" showDropDown="0" showInputMessage="0" showErrorMessage="1" allowBlank="0" errorTitle="Invalid entry" error="Please select Yes, No, or I'm Not Sure." type="list">
      <formula1>"Yes,No,I'm Not Sure"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style="114" min="1" max="1"/>
    <col width="42" customWidth="1" style="114" min="2" max="2"/>
    <col width="24" customWidth="1" style="114" min="3" max="3"/>
    <col width="70" customWidth="1" style="114" min="4" max="4"/>
    <col width="60" customWidth="1" style="114" min="5" max="5"/>
  </cols>
  <sheetData>
    <row r="1" ht="6" customHeight="1" s="114">
      <c r="A1" s="150" t="n"/>
      <c r="B1" s="150" t="n"/>
      <c r="C1" s="150" t="n"/>
      <c r="D1" s="150" t="n"/>
      <c r="E1" s="150" t="n"/>
    </row>
    <row r="2" ht="30" customHeight="1" s="114">
      <c r="A2" s="143" t="inlineStr">
        <is>
          <t>Calculations — Lookup Values (auto-derived from your inputs on ROI Calculator)</t>
        </is>
      </c>
    </row>
    <row r="3" ht="6" customHeight="1" s="114">
      <c r="A3" s="157" t="n"/>
      <c r="B3" s="157" t="n"/>
      <c r="C3" s="157" t="n"/>
      <c r="D3" s="157" t="n"/>
      <c r="E3" s="157" t="n"/>
    </row>
    <row r="4" ht="15.75" customHeight="1" s="114">
      <c r="A4" s="29" t="n"/>
      <c r="B4" s="30" t="inlineStr">
        <is>
          <t>Derived Variable</t>
        </is>
      </c>
      <c r="C4" s="30" t="inlineStr">
        <is>
          <t>Value</t>
        </is>
      </c>
      <c r="D4" s="31" t="n"/>
      <c r="E4" s="30" t="inlineStr">
        <is>
          <t>Source / Note</t>
        </is>
      </c>
    </row>
    <row r="5" ht="25.5" customHeight="1" s="114">
      <c r="A5" s="29" t="n"/>
      <c r="B5" s="32" t="inlineStr">
        <is>
          <t>Avg daily wage — selected country (USD)</t>
        </is>
      </c>
      <c r="C5" s="174">
        <f>IFERROR(VLOOKUP('ROI Calculator'!C9,Ref!B:I,2,0),55)</f>
        <v/>
      </c>
      <c r="D5" s="31" t="n"/>
      <c r="E5" s="33" t="inlineStr">
        <is>
          <t>ILO Global Wage Report 2024 — knowledge-worker rate for selected country</t>
        </is>
      </c>
    </row>
    <row r="6" ht="25.5" customHeight="1" s="114">
      <c r="A6" s="29" t="n"/>
      <c r="B6" s="34" t="inlineStr">
        <is>
          <t>Local tax rate</t>
        </is>
      </c>
      <c r="C6" s="175">
        <f>IFERROR(VLOOKUP('ROI Calculator'!C9,Ref!B:I,3,0),0.09)</f>
        <v/>
      </c>
      <c r="D6" s="31" t="n"/>
      <c r="E6" s="35" t="inlineStr">
        <is>
          <t>Country VAT/GST rate applied to Veeam VDC subscription cost</t>
        </is>
      </c>
    </row>
    <row r="7" ht="25.5" customHeight="1" s="114">
      <c r="A7" s="29" t="n"/>
      <c r="B7" s="32" t="inlineStr">
        <is>
          <t>Tax label</t>
        </is>
      </c>
      <c r="C7" s="65">
        <f>IFERROR(VLOOKUP('ROI Calculator'!C9,Ref!B:I,4,0),"GST 9%")</f>
        <v/>
      </c>
      <c r="D7" s="31" t="n"/>
      <c r="E7" s="33" t="inlineStr">
        <is>
          <t>Display label for the applicable tax</t>
        </is>
      </c>
    </row>
    <row r="8" ht="25.5" customHeight="1" s="114">
      <c r="A8" s="29" t="n"/>
      <c r="B8" s="34" t="inlineStr">
        <is>
          <t>PDPA / fixed fine cap (USD)</t>
        </is>
      </c>
      <c r="C8" s="66">
        <f>IFERROR(VLOOKUP('ROI Calculator'!C9,Ref!B:I,5,0),740000)</f>
        <v/>
      </c>
      <c r="D8" s="31" t="n"/>
      <c r="E8" s="35" t="inlineStr">
        <is>
          <t>Applies when revenue-based fine % = 0 (e.g. SG PDPA ≈ SGD 1M, TH THB 5M, PH PHP 5M, MY MYR 500K)</t>
        </is>
      </c>
    </row>
    <row r="9" ht="25.5" customHeight="1" s="114">
      <c r="A9" s="29" t="n"/>
      <c r="B9" s="32" t="inlineStr">
        <is>
          <t>Revenue-based fine % (where applicable)</t>
        </is>
      </c>
      <c r="C9" s="176">
        <f>IFERROR(VLOOKUP('ROI Calculator'!C9,Ref!B:I,6,0),0)</f>
        <v/>
      </c>
      <c r="D9" s="31" t="n"/>
      <c r="E9" s="33" t="inlineStr">
        <is>
          <t>Applies for ID (2% of revenue) and KR (3% of revenue). Zero = use fixed cap instead.</t>
        </is>
      </c>
    </row>
    <row r="10" ht="25.5" customHeight="1" s="114">
      <c r="A10" s="29" t="n"/>
      <c r="B10" s="34" t="inlineStr">
        <is>
          <t>MAS fine % — SG financial entities only</t>
        </is>
      </c>
      <c r="C10" s="175">
        <f>IFERROR(VLOOKUP('ROI Calculator'!C9,Ref!B:I,7,0),0)</f>
        <v/>
      </c>
      <c r="D10" s="31" t="n"/>
      <c r="E10" s="35" t="inlineStr">
        <is>
          <t>MAS Technology Risk Management Guidelines 2021: up to 10% of annual turnover (SG financial only)</t>
        </is>
      </c>
    </row>
    <row r="11" ht="25.5" customHeight="1" s="114">
      <c r="A11" s="29" t="n"/>
      <c r="B11" s="32" t="inlineStr">
        <is>
          <t>Regulatory enforcement probability</t>
        </is>
      </c>
      <c r="C11" s="68">
        <f>IFERROR(VLOOKUP('ROI Calculator'!C9,Ref!B:I,8,0),0.35)</f>
        <v/>
      </c>
      <c r="D11" s="31" t="n"/>
      <c r="E11" s="33" t="inlineStr">
        <is>
          <t>Probability that a breach results in regulatory action — calibrated per regulator's enforcement track record</t>
        </is>
      </c>
    </row>
    <row r="12" ht="25.5" customHeight="1" s="114">
      <c r="A12" s="29" t="n"/>
      <c r="B12" s="34" t="inlineStr">
        <is>
          <t>Industry risk multiplier</t>
        </is>
      </c>
      <c r="C12" s="177">
        <f>IFERROR(VLOOKUP('ROI Calculator'!C10,Ref!K:L,2,0),1)</f>
        <v/>
      </c>
      <c r="D12" s="31" t="n"/>
      <c r="E12" s="35" t="inlineStr">
        <is>
          <t>Financial 1.4×, Healthcare 1.3×, Legal 1.2×, Tech/Retail 1.1×, Manufacturing/Other 1.0×</t>
        </is>
      </c>
    </row>
    <row r="13" ht="25.5" customHeight="1" s="114">
      <c r="A13" s="29" t="n"/>
      <c r="B13" s="32" t="inlineStr">
        <is>
          <t>MAS applicability flag (1 = yes, 0 = no)</t>
        </is>
      </c>
      <c r="C13" s="70">
        <f>IF(AND('ROI Calculator'!C9="Singapore",'ROI Calculator'!C10="Financial"),1,0)</f>
        <v/>
      </c>
      <c r="D13" s="31" t="n"/>
      <c r="E13" s="33" t="inlineStr">
        <is>
          <t>Triggers MAS 10%-of-turnover penalty instead of PDPA fixed cap when SG + financial</t>
        </is>
      </c>
    </row>
    <row r="14" ht="55" customHeight="1" s="114">
      <c r="A14" s="29" t="n"/>
      <c r="B14" s="34" t="inlineStr">
        <is>
          <t>Effective annual incident probability</t>
        </is>
      </c>
      <c r="C14" s="175">
        <f>C16*(IF(OR('ROI Calculator'!C14="Yes",'ROI Calculator'!C14="I'm Not Sure"),C17,1))*C12</f>
        <v/>
      </c>
      <c r="D14" s="86" t="inlineStr">
        <is>
          <t>If 'Yes' or 'I'm Not Sure': applies the 1.65× prior-incident recurrence multiplier (Coveware Q4 2023 — 78% recurrence rate among orgs that experienced an attack). Default 'No' uses base probability only.</t>
        </is>
      </c>
      <c r="E14" s="35" t="inlineStr">
        <is>
          <t>Base probability × prior-incident recurrence multiplier × industry risk multiplier</t>
        </is>
      </c>
    </row>
    <row r="15" ht="25.5" customHeight="1" s="114">
      <c r="A15" s="29" t="n"/>
      <c r="B15" s="32" t="inlineStr">
        <is>
          <t>Effective VDC price per user per year (USD)</t>
        </is>
      </c>
      <c r="C15" s="174">
        <f>IF(ISNUMBER('ROI Calculator'!C13),('ROI Calculator'!C13/(1+C6))/'ROI Calculator'!C11,'ROI Calculator'!C20)</f>
        <v/>
      </c>
      <c r="D15" s="31" t="n"/>
      <c r="E15" s="33" t="inlineStr">
        <is>
          <t>Uses customer quote (C13) if provided — treated as tax-inclusive total; backs out local tax rate to derive base per-user cost. Otherwise uses indicative estimate.</t>
        </is>
      </c>
    </row>
    <row r="16" ht="24" customHeight="1" s="114">
      <c r="A16" s="29" t="n"/>
      <c r="B16" s="36" t="inlineStr">
        <is>
          <t>Base annual probability of M365 data loss</t>
        </is>
      </c>
      <c r="C16" s="178">
        <f>'ROI Calculator'!C16</f>
        <v/>
      </c>
      <c r="D16" s="31" t="n"/>
      <c r="E16" s="38" t="inlineStr">
        <is>
          <t>Mirrors editable assumption from ROI Calculator (Step 2)</t>
        </is>
      </c>
    </row>
    <row r="17" ht="24" customHeight="1" s="114">
      <c r="A17" s="71" t="n"/>
      <c r="B17" s="4" t="inlineStr">
        <is>
          <t>Prior incident recurrence multiplier (applied if 'Yes' in Step 1)</t>
        </is>
      </c>
      <c r="C17" s="39">
        <f>'ROI Calculator'!C17</f>
        <v/>
      </c>
      <c r="D17" s="72" t="n"/>
      <c r="E17" s="40" t="inlineStr">
        <is>
          <t>Mirrors editable assumption from ROI Calculator (Step 2)</t>
        </is>
      </c>
    </row>
    <row r="18" ht="24" customHeight="1" s="114">
      <c r="A18" s="29" t="n"/>
      <c r="B18" s="36" t="inlineStr">
        <is>
          <t>Affected users (% of M365 user base)</t>
        </is>
      </c>
      <c r="C18" s="41">
        <f>'ROI Calculator'!C18</f>
        <v/>
      </c>
      <c r="D18" s="31" t="n"/>
      <c r="E18" s="38" t="inlineStr">
        <is>
          <t>Mirrors editable assumption from ROI Calculator (Step 2)</t>
        </is>
      </c>
    </row>
    <row r="19" ht="24" customHeight="1" s="114">
      <c r="A19" s="29" t="n"/>
      <c r="B19" s="4" t="inlineStr">
        <is>
          <t>Recovery period without Veeam (days)</t>
        </is>
      </c>
      <c r="C19" s="42">
        <f>'ROI Calculator'!C19</f>
        <v/>
      </c>
      <c r="D19" s="31" t="n"/>
      <c r="E19" s="40" t="inlineStr">
        <is>
          <t>Mirrors editable assumption from ROI Calculator (Step 2)</t>
        </is>
      </c>
    </row>
    <row r="20" ht="48" customHeight="1" s="114">
      <c r="B20" s="94" t="inlineStr">
        <is>
          <t>Annual revenue (USD) — converted from band</t>
        </is>
      </c>
      <c r="C20" s="95">
        <f>IFERROR(VLOOKUP('ROI Calculator'!C12,Ref!S:T,2,0),275000000)</f>
        <v/>
      </c>
      <c r="D20" s="101" t="inlineStr">
        <is>
          <t>Override: type an exact USD figure directly into C20 if precise revenue is known. This replaces the band mid-point and flows through all revenue-sensitive calculations (regulatory fine, customer impact exposure).</t>
        </is>
      </c>
    </row>
    <row r="21" ht="30" customHeight="1" s="114">
      <c r="B21" s="144" t="inlineStr">
        <is>
          <t>ⓘ  Rows 16-19 mirror editable assumptions from the ROI Calculator (Step 2). All other rows are derived from country/industry selections and the Ref sheet.</t>
        </is>
      </c>
    </row>
    <row r="22" ht="42" customHeight="1" s="114">
      <c r="B22" s="94" t="inlineStr">
        <is>
          <t>Industry customer-impact factor (% of revenue)</t>
        </is>
      </c>
      <c r="C22" s="179">
        <f>IFERROR(VLOOKUP('ROI Calculator'!C10,Ref!K:M,3,0),0.005)</f>
        <v/>
      </c>
      <c r="D22" s="101" t="inlineStr">
        <is>
          <t>Ponemon/IBM Cost of a Data Breach 2024 — lost-business component, expressed as % of annual revenue. Default 0.5% if industry not matched.</t>
        </is>
      </c>
    </row>
  </sheetData>
  <mergeCells count="2">
    <mergeCell ref="A2:E2"/>
    <mergeCell ref="B21:E2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14" customWidth="1" style="114" min="1" max="1"/>
    <col width="20" customWidth="1" style="114" min="2" max="2"/>
    <col width="22" customWidth="1" style="114" min="3" max="3"/>
    <col width="38" customWidth="1" style="114" min="4" max="5"/>
    <col width="16" customWidth="1" style="114" min="6" max="8"/>
    <col width="22" customWidth="1" style="114" min="9" max="9"/>
    <col width="46" customWidth="1" style="114" min="10" max="10"/>
    <col width="16" customWidth="1" style="114" min="11" max="12"/>
    <col width="13" customWidth="1" style="114" min="13" max="13"/>
    <col width="8" customWidth="1" style="114" min="14" max="14"/>
    <col width="22" customWidth="1" style="114" min="15" max="15"/>
    <col width="28" customWidth="1" style="114" min="16" max="16"/>
    <col width="26" customWidth="1" style="114" min="17" max="17"/>
    <col width="60" customWidth="1" style="114" min="18" max="18"/>
  </cols>
  <sheetData>
    <row r="1" ht="42" customHeight="1" s="114">
      <c r="A1" s="43" t="inlineStr">
        <is>
          <t>Code</t>
        </is>
      </c>
      <c r="B1" s="43" t="inlineStr">
        <is>
          <t>Country</t>
        </is>
      </c>
      <c r="C1" s="43" t="inlineStr">
        <is>
          <t>Avg Daily Wage (USD)</t>
        </is>
      </c>
      <c r="D1" s="43" t="inlineStr">
        <is>
          <t>Local Tax Rate</t>
        </is>
      </c>
      <c r="E1" s="43" t="inlineStr">
        <is>
          <t>Tax Label</t>
        </is>
      </c>
      <c r="F1" s="43" t="inlineStr">
        <is>
          <t>PDPA / Fixed Fine Cap (USD)
(applies when Fine % = 0)</t>
        </is>
      </c>
      <c r="G1" s="43" t="inlineStr">
        <is>
          <t>Revenue-Based Fine %
(overrides cap when &gt; 0)</t>
        </is>
      </c>
      <c r="H1" s="43" t="inlineStr">
        <is>
          <t>MAS Fine % of Revenue
(SG financial entities only)</t>
        </is>
      </c>
      <c r="I1" s="43" t="inlineStr">
        <is>
          <t>Enforcement Probability</t>
        </is>
      </c>
      <c r="J1" s="43" t="inlineStr">
        <is>
          <t>Fine Calculation Logic</t>
        </is>
      </c>
      <c r="K1" s="44" t="inlineStr">
        <is>
          <t>Industry Key</t>
        </is>
      </c>
      <c r="L1" s="44" t="inlineStr">
        <is>
          <t>Risk Multiplier</t>
        </is>
      </c>
      <c r="M1" s="103" t="inlineStr">
        <is>
          <t>Customer Impact
Factor (IBM 2024)</t>
        </is>
      </c>
      <c r="N1" s="44" t="inlineStr">
        <is>
          <t>Country</t>
        </is>
      </c>
      <c r="O1" s="44" t="inlineStr">
        <is>
          <t>Industry</t>
        </is>
      </c>
      <c r="P1" s="44" t="inlineStr">
        <is>
          <t>Regulation</t>
        </is>
      </c>
      <c r="Q1" s="44" t="inlineStr">
        <is>
          <t>Key Penalty</t>
        </is>
      </c>
      <c r="R1" s="44" t="inlineStr">
        <is>
          <t>Notes</t>
        </is>
      </c>
      <c r="S1" s="96" t="inlineStr">
        <is>
          <t>Revenue Band</t>
        </is>
      </c>
      <c r="T1" s="96" t="inlineStr">
        <is>
          <t>Midpoint (USD)</t>
        </is>
      </c>
    </row>
    <row r="2" ht="36" customHeight="1" s="114">
      <c r="A2" s="45" t="inlineStr">
        <is>
          <t>SG</t>
        </is>
      </c>
      <c r="B2" s="46" t="inlineStr">
        <is>
          <t>Singapore</t>
        </is>
      </c>
      <c r="C2" s="180" t="n">
        <v>276</v>
      </c>
      <c r="D2" s="181" t="n">
        <v>0.09</v>
      </c>
      <c r="E2" s="49" t="inlineStr">
        <is>
          <t>GST 9%</t>
        </is>
      </c>
      <c r="F2" s="50" t="n">
        <v>740000</v>
      </c>
      <c r="G2" s="181" t="n">
        <v>0</v>
      </c>
      <c r="H2" s="181" t="n">
        <v>0.1</v>
      </c>
      <c r="I2" s="181" t="n">
        <v>0.35</v>
      </c>
      <c r="J2" s="33" t="inlineStr">
        <is>
          <t>Non-financial: PDPA cap SGD 1M (≈ USD 740K) × 35% enforcement
Financial (MAS): 10% of annual turnover × 35% enforcement</t>
        </is>
      </c>
      <c r="K2" s="46" t="inlineStr">
        <is>
          <t>Financial</t>
        </is>
      </c>
      <c r="L2" s="182" t="n">
        <v>1.4</v>
      </c>
      <c r="M2" s="183" t="n">
        <v>0.01</v>
      </c>
      <c r="N2" s="52" t="inlineStr">
        <is>
          <t>SG</t>
        </is>
      </c>
      <c r="O2" s="52" t="inlineStr">
        <is>
          <t>All industries</t>
        </is>
      </c>
      <c r="P2" s="52" t="inlineStr">
        <is>
          <t>PDPA (amended 2021)</t>
        </is>
      </c>
      <c r="Q2" s="52" t="inlineStr">
        <is>
          <t>Max SGD 1,000,000</t>
        </is>
      </c>
      <c r="R2" s="52" t="inlineStr">
        <is>
          <t>PDPC issued fines of up to SGD 1M for data breaches. Breach notification mandatory within 3 days of assessing incident as notifiable.</t>
        </is>
      </c>
      <c r="S2" s="97" t="inlineStr">
        <is>
          <t>Under USD 50M</t>
        </is>
      </c>
      <c r="T2" s="97" t="n">
        <v>25000000</v>
      </c>
    </row>
    <row r="3" ht="36" customHeight="1" s="114">
      <c r="A3" s="45" t="inlineStr">
        <is>
          <t>ID</t>
        </is>
      </c>
      <c r="B3" s="46" t="inlineStr">
        <is>
          <t>Indonesia</t>
        </is>
      </c>
      <c r="C3" s="180" t="n">
        <v>53</v>
      </c>
      <c r="D3" s="181" t="n">
        <v>0.11</v>
      </c>
      <c r="E3" s="49" t="inlineStr">
        <is>
          <t>PPN/VAT 11%</t>
        </is>
      </c>
      <c r="F3" s="50" t="n">
        <v>0</v>
      </c>
      <c r="G3" s="181" t="n">
        <v>0.02</v>
      </c>
      <c r="H3" s="181" t="n">
        <v>0</v>
      </c>
      <c r="I3" s="181" t="n">
        <v>0.2</v>
      </c>
      <c r="J3" s="35" t="inlineStr">
        <is>
          <t>Revenue-based: 2% of annual revenue × 20% enforcement probability</t>
        </is>
      </c>
      <c r="K3" s="46" t="inlineStr">
        <is>
          <t>Healthcare</t>
        </is>
      </c>
      <c r="L3" s="182" t="n">
        <v>1.3</v>
      </c>
      <c r="M3" s="183" t="n">
        <v>0.012</v>
      </c>
      <c r="N3" s="53" t="inlineStr">
        <is>
          <t>SG</t>
        </is>
      </c>
      <c r="O3" s="53" t="inlineStr">
        <is>
          <t>Financial (MAS-regulated)</t>
        </is>
      </c>
      <c r="P3" s="53" t="inlineStr">
        <is>
          <t>MAS Technology Risk Management Guidelines 2021</t>
        </is>
      </c>
      <c r="Q3" s="53" t="inlineStr">
        <is>
          <t>Up to 10% of annual turnover</t>
        </is>
      </c>
      <c r="R3" s="53" t="inlineStr">
        <is>
          <t>MAS-regulated entities face revenue-based penalties. Supervisory action and licence implications possible.</t>
        </is>
      </c>
      <c r="S3" s="97" t="inlineStr">
        <is>
          <t>USD 50M – 500M</t>
        </is>
      </c>
      <c r="T3" s="97" t="n">
        <v>275000000</v>
      </c>
    </row>
    <row r="4" ht="36" customHeight="1" s="114">
      <c r="A4" s="45" t="inlineStr">
        <is>
          <t>TH</t>
        </is>
      </c>
      <c r="B4" s="46" t="inlineStr">
        <is>
          <t>Thailand</t>
        </is>
      </c>
      <c r="C4" s="180" t="n">
        <v>83</v>
      </c>
      <c r="D4" s="181" t="n">
        <v>0.07000000000000001</v>
      </c>
      <c r="E4" s="49" t="inlineStr">
        <is>
          <t>VAT 7%</t>
        </is>
      </c>
      <c r="F4" s="50" t="n">
        <v>140000</v>
      </c>
      <c r="G4" s="181" t="n">
        <v>0</v>
      </c>
      <c r="H4" s="181" t="n">
        <v>0</v>
      </c>
      <c r="I4" s="181" t="n">
        <v>0.25</v>
      </c>
      <c r="J4" s="33" t="inlineStr">
        <is>
          <t>Fixed cap: THB 5M (≈ USD 140K) × 25% enforcement probability</t>
        </is>
      </c>
      <c r="K4" s="46" t="inlineStr">
        <is>
          <t>Legal</t>
        </is>
      </c>
      <c r="L4" s="182" t="n">
        <v>1.2</v>
      </c>
      <c r="M4" s="183" t="n">
        <v>0.008</v>
      </c>
      <c r="N4" s="52" t="inlineStr">
        <is>
          <t>ID</t>
        </is>
      </c>
      <c r="O4" s="52" t="inlineStr">
        <is>
          <t>All industries</t>
        </is>
      </c>
      <c r="P4" s="52" t="inlineStr">
        <is>
          <t>PDP Law No. 27 / 2022</t>
        </is>
      </c>
      <c r="Q4" s="52" t="inlineStr">
        <is>
          <t>Up to 2% of annual revenue</t>
        </is>
      </c>
      <c r="R4" s="52" t="inlineStr">
        <is>
          <t>Effective 2024. Enforcement capacity at Kominfo still maturing. Transition period ended Oct 2024.</t>
        </is>
      </c>
      <c r="S4" s="97" t="inlineStr">
        <is>
          <t>USD 500M – 2B</t>
        </is>
      </c>
      <c r="T4" s="97" t="n">
        <v>1250000000</v>
      </c>
    </row>
    <row r="5" ht="36" customHeight="1" s="114">
      <c r="A5" s="45" t="inlineStr">
        <is>
          <t>PH</t>
        </is>
      </c>
      <c r="B5" s="46" t="inlineStr">
        <is>
          <t>Philippines</t>
        </is>
      </c>
      <c r="C5" s="180" t="n">
        <v>50</v>
      </c>
      <c r="D5" s="181" t="n">
        <v>0.12</v>
      </c>
      <c r="E5" s="49" t="inlineStr">
        <is>
          <t>VAT 12%</t>
        </is>
      </c>
      <c r="F5" s="50" t="n">
        <v>88000</v>
      </c>
      <c r="G5" s="181" t="n">
        <v>0</v>
      </c>
      <c r="H5" s="181" t="n">
        <v>0</v>
      </c>
      <c r="I5" s="181" t="n">
        <v>0.35</v>
      </c>
      <c r="J5" s="35" t="inlineStr">
        <is>
          <t>Fixed cap: PHP 5M (≈ USD 88K) × 35% enforcement probability</t>
        </is>
      </c>
      <c r="K5" s="46" t="inlineStr">
        <is>
          <t>Tech</t>
        </is>
      </c>
      <c r="L5" s="182" t="n">
        <v>1.1</v>
      </c>
      <c r="M5" s="183" t="n">
        <v>0.007</v>
      </c>
      <c r="N5" s="53" t="inlineStr">
        <is>
          <t>TH</t>
        </is>
      </c>
      <c r="O5" s="53" t="inlineStr">
        <is>
          <t>All industries</t>
        </is>
      </c>
      <c r="P5" s="53" t="inlineStr">
        <is>
          <t>PDPA B.E. 2562 (2019)</t>
        </is>
      </c>
      <c r="Q5" s="53" t="inlineStr">
        <is>
          <t>Criminal fine up to THB 5,000,000 + civil damages</t>
        </is>
      </c>
      <c r="R5" s="53" t="inlineStr">
        <is>
          <t>Civil liability may exceed statutory cap. PDPC Thailand actively enforcing since 2022.</t>
        </is>
      </c>
      <c r="S5" s="97" t="inlineStr">
        <is>
          <t>USD 2B – 10B</t>
        </is>
      </c>
      <c r="T5" s="97" t="n">
        <v>5500000000</v>
      </c>
    </row>
    <row r="6" ht="36" customHeight="1" s="114">
      <c r="A6" s="45" t="inlineStr">
        <is>
          <t>MY</t>
        </is>
      </c>
      <c r="B6" s="46" t="inlineStr">
        <is>
          <t>Malaysia</t>
        </is>
      </c>
      <c r="C6" s="180" t="n">
        <v>75</v>
      </c>
      <c r="D6" s="181" t="n">
        <v>0.08</v>
      </c>
      <c r="E6" s="49" t="inlineStr">
        <is>
          <t>SST 8%</t>
        </is>
      </c>
      <c r="F6" s="50" t="n">
        <v>107000</v>
      </c>
      <c r="G6" s="181" t="n">
        <v>0</v>
      </c>
      <c r="H6" s="181" t="n">
        <v>0</v>
      </c>
      <c r="I6" s="181" t="n">
        <v>0.25</v>
      </c>
      <c r="J6" s="33" t="inlineStr">
        <is>
          <t>Fixed cap: MYR 500K (≈ USD 107K) × 25% enforcement probability</t>
        </is>
      </c>
      <c r="K6" s="46" t="inlineStr">
        <is>
          <t>Retail</t>
        </is>
      </c>
      <c r="L6" s="182" t="n">
        <v>1.1</v>
      </c>
      <c r="M6" s="183" t="n">
        <v>0.004</v>
      </c>
      <c r="N6" s="52" t="inlineStr">
        <is>
          <t>PH</t>
        </is>
      </c>
      <c r="O6" s="52" t="inlineStr">
        <is>
          <t>All industries</t>
        </is>
      </c>
      <c r="P6" s="52" t="inlineStr">
        <is>
          <t>Data Privacy Act (RA 10173)</t>
        </is>
      </c>
      <c r="Q6" s="52" t="inlineStr">
        <is>
          <t>Admin fine up to PHP 5,000,000 per violation</t>
        </is>
      </c>
      <c r="R6" s="52" t="inlineStr">
        <is>
          <t>NPC is one of ASEAN's most active regulators. Imprisonment of responsible officers possible.</t>
        </is>
      </c>
      <c r="S6" s="97" t="inlineStr">
        <is>
          <t>Over USD 10B</t>
        </is>
      </c>
      <c r="T6" s="97" t="n">
        <v>15000000000</v>
      </c>
    </row>
    <row r="7" ht="36" customHeight="1" s="114">
      <c r="A7" s="45" t="inlineStr">
        <is>
          <t>KR</t>
        </is>
      </c>
      <c r="B7" s="46" t="inlineStr">
        <is>
          <t>South Korea</t>
        </is>
      </c>
      <c r="C7" s="180" t="n">
        <v>198</v>
      </c>
      <c r="D7" s="181" t="n">
        <v>0.1</v>
      </c>
      <c r="E7" s="49" t="inlineStr">
        <is>
          <t>VAT 10%</t>
        </is>
      </c>
      <c r="F7" s="50" t="n">
        <v>0</v>
      </c>
      <c r="G7" s="181" t="n">
        <v>0.03</v>
      </c>
      <c r="H7" s="181" t="n">
        <v>0</v>
      </c>
      <c r="I7" s="181" t="n">
        <v>0.4</v>
      </c>
      <c r="J7" s="35" t="inlineStr">
        <is>
          <t>Revenue-based: 3% of annual turnover × 40% enforcement probability</t>
        </is>
      </c>
      <c r="K7" s="46" t="inlineStr">
        <is>
          <t>Manufacturing</t>
        </is>
      </c>
      <c r="L7" s="182" t="n">
        <v>1</v>
      </c>
      <c r="M7" s="183" t="n">
        <v>0.003</v>
      </c>
      <c r="N7" s="53" t="inlineStr">
        <is>
          <t>MY</t>
        </is>
      </c>
      <c r="O7" s="53" t="inlineStr">
        <is>
          <t>All industries</t>
        </is>
      </c>
      <c r="P7" s="53" t="inlineStr">
        <is>
          <t>PDPA 2010 (amended 2024)</t>
        </is>
      </c>
      <c r="Q7" s="53" t="inlineStr">
        <is>
          <t>Fine up to MYR 500,000</t>
        </is>
      </c>
      <c r="R7" s="53" t="inlineStr">
        <is>
          <t>2024 amendments introduced mandatory breach notification and increased penalties. Enforcement accelerating.</t>
        </is>
      </c>
    </row>
    <row r="8" ht="36" customHeight="1" s="114">
      <c r="A8" s="54" t="n"/>
      <c r="K8" s="55" t="inlineStr">
        <is>
          <t>Other</t>
        </is>
      </c>
      <c r="L8" s="184" t="n">
        <v>1</v>
      </c>
      <c r="M8" s="183" t="n">
        <v>0.005</v>
      </c>
      <c r="N8" s="52" t="inlineStr">
        <is>
          <t>KR</t>
        </is>
      </c>
      <c r="O8" s="52" t="inlineStr">
        <is>
          <t>All industries</t>
        </is>
      </c>
      <c r="P8" s="52" t="inlineStr">
        <is>
          <t>PIPA (amended 2023)</t>
        </is>
      </c>
      <c r="Q8" s="52" t="inlineStr">
        <is>
          <t>Up to 3% of annual turnover</t>
        </is>
      </c>
      <c r="R8" s="52" t="inlineStr">
        <is>
          <t>PIPC is Asia's closest equivalent to GDPR regulator. Near-maximum fines issued against large organisations.</t>
        </is>
      </c>
    </row>
    <row r="10" ht="10" customHeight="1" s="114"/>
    <row r="11" ht="22" customHeight="1" s="114">
      <c r="A11" s="148" t="inlineStr">
        <is>
          <t>▌  COUNTRY DATA — REGULATORY FRAMEWORK &amp; SOURCES</t>
        </is>
      </c>
    </row>
    <row r="12" ht="20" customHeight="1" s="114">
      <c r="A12" s="147" t="inlineStr">
        <is>
          <t>Country</t>
        </is>
      </c>
      <c r="B12" s="147" t="inlineStr">
        <is>
          <t>Regulation</t>
        </is>
      </c>
      <c r="C12" s="147" t="inlineStr">
        <is>
          <t>Fine Mechanism</t>
        </is>
      </c>
      <c r="D12" s="147" t="inlineStr">
        <is>
          <t>Enforcement Probability — Source</t>
        </is>
      </c>
      <c r="E12" s="147" t="inlineStr">
        <is>
          <t>Wage Source</t>
        </is>
      </c>
    </row>
    <row r="13" ht="42" customHeight="1" s="114">
      <c r="A13" s="106" t="inlineStr">
        <is>
          <t>Singapore</t>
        </is>
      </c>
      <c r="B13" s="106" t="inlineStr">
        <is>
          <t>PDPA (2012, amended 2021) + MAS TRM Guidelines</t>
        </is>
      </c>
      <c r="C13" s="106" t="inlineStr">
        <is>
          <t>Fixed cap SGD 1M (~USD 740K); MAS: 10% revenue for regulated entities</t>
        </is>
      </c>
      <c r="D13" s="106" t="inlineStr">
        <is>
          <t>PDPC enforcement track record 2021–2023; MAS enforcement notices (public). Prob = 35%.</t>
        </is>
      </c>
      <c r="E13" s="106" t="inlineStr">
        <is>
          <t>MOM Occupational Wages Survey 2023 — ICT Professionals median SGD 8,150/mo</t>
        </is>
      </c>
    </row>
    <row r="14" ht="42" customHeight="1" s="114">
      <c r="A14" s="106" t="inlineStr">
        <is>
          <t>Indonesia</t>
        </is>
      </c>
      <c r="B14" s="106" t="inlineStr">
        <is>
          <t>PDP Law No. 27/2022 (in force Oct 2024)</t>
        </is>
      </c>
      <c r="C14" s="106" t="inlineStr">
        <is>
          <t>Up to 2% of annual revenue; enforced by Kominfo/BSSN</t>
        </is>
      </c>
      <c r="D14" s="106" t="inlineStr">
        <is>
          <t>Kominfo enforcement capacity still maturing; calibrated at 20% given nascent framework.</t>
        </is>
      </c>
      <c r="E14" s="106" t="inlineStr">
        <is>
          <t>BPS SAKERNAS 2023 + Mercer TRS — IDR 18.5M/mo for knowledge workers</t>
        </is>
      </c>
    </row>
    <row r="15" ht="42" customHeight="1" s="114">
      <c r="A15" s="106" t="inlineStr">
        <is>
          <t>Thailand</t>
        </is>
      </c>
      <c r="B15" s="106" t="inlineStr">
        <is>
          <t>PDPA B.E. 2562 (2019, enforced 2022)</t>
        </is>
      </c>
      <c r="C15" s="106" t="inlineStr">
        <is>
          <t>Fixed max THB 5M (~USD 140K); criminal penalties for intentional breach</t>
        </is>
      </c>
      <c r="D15" s="106" t="inlineStr">
        <is>
          <t>PDPC Thailand early enforcement phase; calibrated at 25%. Fines issued from 2023.</t>
        </is>
      </c>
      <c r="E15" s="106" t="inlineStr">
        <is>
          <t>NSO Thailand Labour Force Survey 2023 — THB 65,000/mo for professional workers</t>
        </is>
      </c>
    </row>
    <row r="16" ht="42" customHeight="1" s="114">
      <c r="A16" s="106" t="inlineStr">
        <is>
          <t>Philippines</t>
        </is>
      </c>
      <c r="B16" s="106" t="inlineStr">
        <is>
          <t>Data Privacy Act of 2012 (RA 10173); NPC enforcement active</t>
        </is>
      </c>
      <c r="C16" s="106" t="inlineStr">
        <is>
          <t>Fixed cap ~PHP 5M (~USD 88K) per violation; imprisonment possible for officers</t>
        </is>
      </c>
      <c r="D16" s="106" t="inlineStr">
        <is>
          <t>NPC is one of the most active ASEAN regulators. Calibrated at 35% based on case log.</t>
        </is>
      </c>
      <c r="E16" s="106" t="inlineStr">
        <is>
          <t>PSA Occupational Wages Survey 2022 — PHP 62,000/mo NCR knowledge workers</t>
        </is>
      </c>
    </row>
    <row r="17" ht="42" customHeight="1" s="114">
      <c r="A17" s="106" t="inlineStr">
        <is>
          <t>Malaysia</t>
        </is>
      </c>
      <c r="B17" s="106" t="inlineStr">
        <is>
          <t>PDPA 2010 (amendment bill in progress)</t>
        </is>
      </c>
      <c r="C17" s="106" t="inlineStr">
        <is>
          <t>Fixed cap MYR 500K (~USD 107K); amendment expected to raise this materially</t>
        </is>
      </c>
      <c r="D17" s="106" t="inlineStr">
        <is>
          <t>PDPC Malaysia enforcement increasing; calibrated at 25%. Amendment will raise prob.</t>
        </is>
      </c>
      <c r="E17" s="106" t="inlineStr">
        <is>
          <t>DoSM Salary &amp; Wages Survey 2022 — MYR 7,800/mo for professional/technical workers</t>
        </is>
      </c>
    </row>
    <row r="18" ht="42" customHeight="1" s="114">
      <c r="A18" s="106" t="inlineStr">
        <is>
          <t>South Korea</t>
        </is>
      </c>
      <c r="B18" s="106" t="inlineStr">
        <is>
          <t>PIPA (Personal Information Protection Act), amended 2023</t>
        </is>
      </c>
      <c r="C18" s="106" t="inlineStr">
        <is>
          <t>Up to 3% of annual revenue; PIPC fines can be material for large breaches</t>
        </is>
      </c>
      <c r="D18" s="106" t="inlineStr">
        <is>
          <t>PIPC most active regulator in ASEAN+KR bloc; enforcement probability 40%.</t>
        </is>
      </c>
      <c r="E18" s="106" t="inlineStr">
        <is>
          <t>KOSTAT Survey on Labour Conditions 2023 — KRW 5.8M/mo for knowledge workers</t>
        </is>
      </c>
    </row>
    <row r="19" ht="8" customHeight="1" s="114"/>
    <row r="20" ht="22" customHeight="1" s="114">
      <c r="A20" s="148" t="inlineStr">
        <is>
          <t>▌  INDUSTRY FACTORS — SOURCES &amp; RATIONALE</t>
        </is>
      </c>
    </row>
    <row r="21" ht="20" customHeight="1" s="114">
      <c r="A21" s="147" t="inlineStr">
        <is>
          <t>Industry</t>
        </is>
      </c>
      <c r="B21" s="147" t="inlineStr">
        <is>
          <t>Risk Multiplier — Source</t>
        </is>
      </c>
      <c r="C21" s="147" t="inlineStr">
        <is>
          <t>Customer Impact Factor — Source</t>
        </is>
      </c>
    </row>
    <row r="22" ht="50" customHeight="1" s="114">
      <c r="A22" s="106" t="inlineStr">
        <is>
          <t>Financial</t>
        </is>
      </c>
      <c r="B22" s="106" t="inlineStr">
        <is>
          <t>Veeam Ransomware Trends Report 2024 — financial sector 40% higher breach frequency + recovery cost vs average</t>
        </is>
      </c>
      <c r="C22" s="106" t="inlineStr">
        <is>
          <t>IBM Cost of a Data Breach 2024: financial services avg breach cost ~$6.1M; lost-business share ~1.0% of sector revenue. MAS-regulated entities face additional trust/churn exposure.</t>
        </is>
      </c>
    </row>
    <row r="23" ht="50" customHeight="1" s="114">
      <c r="A23" s="106" t="inlineStr">
        <is>
          <t>Healthcare</t>
        </is>
      </c>
      <c r="B23" s="106" t="inlineStr">
        <is>
          <t>Veeam DPTP 2025 + IBM 2024 — healthcare highest avg breach cost ($9.8M). 30% uplift applied.</t>
        </is>
      </c>
      <c r="C23" s="106" t="inlineStr">
        <is>
          <t>IBM 2024: healthcare lost-business component largest of any sector (~1.2% of revenue), driven by patient churn, regulatory sanctions, and reputational damage.</t>
        </is>
      </c>
    </row>
    <row r="24" ht="50" customHeight="1" s="114">
      <c r="A24" s="106" t="inlineStr">
        <is>
          <t>Legal</t>
        </is>
      </c>
      <c r="B24" s="106" t="inlineStr">
        <is>
          <t>Veeam Ransomware Trends 2024 — legal sector high sensitivity due to client confidentiality obligations. 20% uplift.</t>
        </is>
      </c>
      <c r="C24" s="106" t="inlineStr">
        <is>
          <t>IBM 2024: professional services (legal proxy) lost-business ~0.8% of revenue. High client-switching cost offsets lower avg revenue base.</t>
        </is>
      </c>
    </row>
    <row r="25" ht="50" customHeight="1" s="114">
      <c r="A25" s="106" t="inlineStr">
        <is>
          <t>Tech</t>
        </is>
      </c>
      <c r="B25" s="106" t="inlineStr">
        <is>
          <t>Veeam DPTP 2025 — tech sector above-average frequency; 10% uplift vs base. Fast recovery capability partially offsets.</t>
        </is>
      </c>
      <c r="C25" s="106" t="inlineStr">
        <is>
          <t>IBM 2024: tech sector lost-business ~0.7% of revenue. High brand sensitivity but customer stickiness moderates churn rate.</t>
        </is>
      </c>
    </row>
    <row r="26" ht="50" customHeight="1" s="114">
      <c r="A26" s="106" t="inlineStr">
        <is>
          <t>Retail</t>
        </is>
      </c>
      <c r="B26" s="106" t="inlineStr">
        <is>
          <t>Veeam Ransomware Trends 2024 — retail sector average frequency. 10% uplift applied for POS/supply chain exposure.</t>
        </is>
      </c>
      <c r="C26" s="106" t="inlineStr">
        <is>
          <t>IBM 2024: retail lost-business ~0.4% of revenue. High transaction volume but low per-customer relationship depth limits churn cost.</t>
        </is>
      </c>
    </row>
    <row r="27" ht="50" customHeight="1" s="114">
      <c r="A27" s="106" t="inlineStr">
        <is>
          <t>Manufacturing</t>
        </is>
      </c>
      <c r="B27" s="106" t="inlineStr">
        <is>
          <t>Veeam DPTP 2025 — manufacturing at industry average. OT/IT separation reduces M365-specific exposure.</t>
        </is>
      </c>
      <c r="C27" s="106" t="inlineStr">
        <is>
          <t>IBM 2024: industrial/manufacturing lost-business ~0.3% of revenue. B2B relationships and contract structures limit immediate churn.</t>
        </is>
      </c>
    </row>
    <row r="28" ht="50" customHeight="1" s="114">
      <c r="A28" s="106" t="inlineStr">
        <is>
          <t>Other</t>
        </is>
      </c>
      <c r="B28" s="106" t="inlineStr">
        <is>
          <t>Conservative base rate applied; no specific uplift. Default 1.0× multiplier.</t>
        </is>
      </c>
      <c r="C28" s="106" t="inlineStr">
        <is>
          <t>IBM 2024: cross-industry default ~0.5% of revenue used as conservative midpoint for unclassified sectors.</t>
        </is>
      </c>
    </row>
    <row r="29" ht="8" customHeight="1" s="114"/>
    <row r="30" ht="22" customHeight="1" s="114">
      <c r="A30" s="148" t="inlineStr">
        <is>
          <t>▌  INCIDENT PROBABILITY &amp; PRODUCTIVITY — SOURCES</t>
        </is>
      </c>
    </row>
    <row r="31" ht="52" customHeight="1" s="114">
      <c r="A31" s="107" t="inlineStr">
        <is>
          <t>Base incident probability (35%)</t>
        </is>
      </c>
      <c r="B31" s="145" t="inlineStr">
        <is>
          <t>Sophos State of Ransomware Report 2024 + Veeam Data Protection Trends Report 2025. Covers all significant M365 data loss events: ransomware, accidental deletion, insider threat, sync corruption. 35% represents the annual likelihood of an organisation experiencing a material M365 data loss event.</t>
        </is>
      </c>
      <c r="C31" s="146" t="n"/>
      <c r="D31" s="146" t="n"/>
      <c r="E31" s="146" t="n"/>
      <c r="F31" s="146" t="n"/>
      <c r="G31" s="146" t="n"/>
      <c r="H31" s="124" t="n"/>
    </row>
    <row r="32" ht="52" customHeight="1" s="114">
      <c r="A32" s="107" t="inlineStr">
        <is>
          <t>Prior incident recurrence (1.65×)</t>
        </is>
      </c>
      <c r="B32" s="145" t="inlineStr">
        <is>
          <t>Coveware Ransomware Marketplace Report Q4 2023. 78% of organisations that experienced a ransomware event faced recurrence within 12 months. Multiplier = 1 + (0.78 − 0.35) / 0.35 ≈ 1.65× elevation of base probability.</t>
        </is>
      </c>
      <c r="C32" s="146" t="n"/>
      <c r="D32" s="146" t="n"/>
      <c r="E32" s="146" t="n"/>
      <c r="F32" s="146" t="n"/>
      <c r="G32" s="146" t="n"/>
      <c r="H32" s="124" t="n"/>
    </row>
    <row r="33" ht="52" customHeight="1" s="114">
      <c r="A33" s="107" t="inlineStr">
        <is>
          <t>Affected users (70%)</t>
        </is>
      </c>
      <c r="B33" s="145" t="inlineStr">
        <is>
          <t>Microsoft Work Trend Index 2024. ~70% of enterprise M365 users have primary workflow dependency on M365 workloads (Exchange, Teams, SharePoint/OneDrive) as their core productivity environment.</t>
        </is>
      </c>
      <c r="C33" s="146" t="n"/>
      <c r="D33" s="146" t="n"/>
      <c r="E33" s="146" t="n"/>
      <c r="F33" s="146" t="n"/>
      <c r="G33" s="146" t="n"/>
      <c r="H33" s="124" t="n"/>
    </row>
    <row r="34" ht="52" customHeight="1" s="114">
      <c r="A34" s="107" t="inlineStr">
        <is>
          <t>Recovery period (15 days)</t>
        </is>
      </c>
      <c r="B34" s="145" t="inlineStr">
        <is>
          <t>Coveware Q4 2023 — median 22-day recovery for full ransomware events; 15 days applied for M365-specific scenarios where core infrastructure remains operational and only data workloads require restoration.</t>
        </is>
      </c>
      <c r="C34" s="146" t="n"/>
      <c r="D34" s="146" t="n"/>
      <c r="E34" s="146" t="n"/>
      <c r="F34" s="146" t="n"/>
      <c r="G34" s="146" t="n"/>
      <c r="H34" s="124" t="n"/>
    </row>
    <row r="35" ht="52" customHeight="1" s="114">
      <c r="A35" s="107" t="inlineStr">
        <is>
          <t>Productivity decay curve (Days 1–2: 90%, Days 3–7: 50%, Days 8–15: 20%)</t>
        </is>
      </c>
      <c r="B35" s="145" t="inlineStr">
        <is>
          <t>Coveware Q4 2023 (phase durations); Microsoft Work Trend Index 2024 (workflow dependency). Effective loss factor = 5.9 equivalent fully-lost days out of 15 (≈39%). Replaces flat 100% assumption for CFO-defensible modelling.</t>
        </is>
      </c>
      <c r="C35" s="146" t="n"/>
      <c r="D35" s="146" t="n"/>
      <c r="E35" s="146" t="n"/>
      <c r="F35" s="146" t="n"/>
      <c r="G35" s="146" t="n"/>
      <c r="H35" s="124" t="n"/>
    </row>
    <row r="36" ht="52" customHeight="1" s="114">
      <c r="A36" s="107" t="inlineStr">
        <is>
          <t>IT recovery cost (USD 15,000 base + USD 35–50/user)</t>
        </is>
      </c>
      <c r="B36" s="145" t="inlineStr">
        <is>
          <t>Veeam Ransomware Trends Report 2024. Base covers IR retainer, forensic investigation, and comms. Per-user component covers remediation, account reset, data restoration labour. Scaled at USD 50/user for orgs ≤1,000 users; USD 35/user for larger orgs (economies of scale).</t>
        </is>
      </c>
      <c r="C36" s="146" t="n"/>
      <c r="D36" s="146" t="n"/>
      <c r="E36" s="146" t="n"/>
      <c r="F36" s="146" t="n"/>
      <c r="G36" s="146" t="n"/>
      <c r="H36" s="124" t="n"/>
    </row>
  </sheetData>
  <mergeCells count="11">
    <mergeCell ref="B36:H36"/>
    <mergeCell ref="B32:H32"/>
    <mergeCell ref="B12"/>
    <mergeCell ref="C12"/>
    <mergeCell ref="B35:H35"/>
    <mergeCell ref="A30:J30"/>
    <mergeCell ref="A20:J20"/>
    <mergeCell ref="B33:H33"/>
    <mergeCell ref="B34:H34"/>
    <mergeCell ref="B31:H31"/>
    <mergeCell ref="A11:J1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style="114" min="1" max="1"/>
    <col width="6" customWidth="1" style="114" min="2" max="2"/>
    <col width="50" customWidth="1" style="114" min="3" max="3"/>
    <col width="4" customWidth="1" style="114" min="4" max="4"/>
    <col width="6" customWidth="1" style="114" min="5" max="5"/>
    <col width="50" customWidth="1" style="114" min="6" max="6"/>
    <col width="3" customWidth="1" style="114" min="7" max="7"/>
  </cols>
  <sheetData>
    <row r="1" ht="7.5" customHeight="1" s="114">
      <c r="A1" s="150" t="n"/>
    </row>
    <row r="2" ht="31.5" customHeight="1" s="114">
      <c r="A2" s="160" t="inlineStr">
        <is>
          <t>Recovery Workflow: Without vs. With Veeam Data Cloud</t>
        </is>
      </c>
    </row>
    <row r="3" ht="18" customHeight="1" s="114">
      <c r="A3" s="153" t="inlineStr">
        <is>
          <t>What happens after an M365 data loss event (ransomware, accidental deletion, insider threat, or sync corruption)?</t>
        </is>
      </c>
    </row>
    <row r="4" ht="6" customHeight="1" s="114">
      <c r="A4" s="157" t="n"/>
    </row>
    <row r="5" ht="25.5" customHeight="1" s="114">
      <c r="B5" s="154" t="inlineStr">
        <is>
          <t>❌  WITHOUT VEEAM — UNPROTECTED</t>
        </is>
      </c>
      <c r="C5" s="155" t="n"/>
      <c r="E5" s="158" t="inlineStr">
        <is>
          <t>✓   WITH VEEAM DATA CLOUD — PROTECTED</t>
        </is>
      </c>
      <c r="F5" s="159" t="n"/>
    </row>
    <row r="6" ht="27.75" customHeight="1" s="114">
      <c r="A6" s="29" t="n"/>
      <c r="B6" s="57" t="inlineStr">
        <is>
          <t>1</t>
        </is>
      </c>
      <c r="C6" s="73" t="inlineStr">
        <is>
          <t>Incident detected
IT team alerted — operations disrupted immediately</t>
        </is>
      </c>
      <c r="D6" s="31" t="n"/>
      <c r="E6" s="58" t="inlineStr">
        <is>
          <t>1</t>
        </is>
      </c>
      <c r="F6" s="74" t="inlineStr">
        <is>
          <t>Incident detected
IT team alerted — immutable backups cannot be reached by ransomware</t>
        </is>
      </c>
      <c r="G6" s="29" t="n"/>
    </row>
    <row r="7" ht="7.5" customHeight="1" s="114">
      <c r="A7" s="29" t="n"/>
      <c r="B7" s="29" t="n"/>
      <c r="C7" s="29" t="n"/>
      <c r="D7" s="29" t="n"/>
      <c r="E7" s="29" t="n"/>
      <c r="F7" s="29" t="n"/>
      <c r="G7" s="29" t="n"/>
    </row>
    <row r="8" ht="27.75" customHeight="1" s="114">
      <c r="A8" s="29" t="n"/>
      <c r="B8" s="57" t="inlineStr">
        <is>
          <t>2</t>
        </is>
      </c>
      <c r="C8" s="73" t="inlineStr">
        <is>
          <t>Scope assessment
2–5 days to determine what data was lost and how</t>
        </is>
      </c>
      <c r="D8" s="31" t="n"/>
      <c r="E8" s="58" t="inlineStr">
        <is>
          <t>2</t>
        </is>
      </c>
      <c r="F8" s="74" t="inlineStr">
        <is>
          <t>Systems isolated
Affected endpoints isolated; backup environment completely unaffected</t>
        </is>
      </c>
      <c r="G8" s="29" t="n"/>
    </row>
    <row r="9" ht="7.5" customHeight="1" s="114">
      <c r="A9" s="29" t="n"/>
      <c r="B9" s="29" t="n"/>
      <c r="C9" s="29" t="n"/>
      <c r="D9" s="29" t="n"/>
      <c r="E9" s="29" t="n"/>
      <c r="F9" s="29" t="n"/>
      <c r="G9" s="29" t="n"/>
    </row>
    <row r="10" ht="27.75" customHeight="1" s="114">
      <c r="A10" s="29" t="n"/>
      <c r="B10" s="57" t="inlineStr">
        <is>
          <t>3</t>
        </is>
      </c>
      <c r="C10" s="73" t="inlineStr">
        <is>
          <t>Native tools exhausted
M365 recycle bin &amp; retention policies insufficient for full recovery</t>
        </is>
      </c>
      <c r="D10" s="31" t="n"/>
      <c r="E10" s="58" t="inlineStr">
        <is>
          <t>3</t>
        </is>
      </c>
      <c r="F10" s="74" t="inlineStr">
        <is>
          <t>Portal login
Log into Veeam Data Cloud — no specialist skills required</t>
        </is>
      </c>
      <c r="G10" s="29" t="n"/>
    </row>
    <row r="11" ht="7.5" customHeight="1" s="114">
      <c r="A11" s="29" t="n"/>
      <c r="B11" s="29" t="n"/>
      <c r="C11" s="29" t="n"/>
      <c r="D11" s="29" t="n"/>
      <c r="E11" s="29" t="n"/>
      <c r="F11" s="29" t="n"/>
      <c r="G11" s="29" t="n"/>
    </row>
    <row r="12" ht="27.75" customHeight="1" s="114">
      <c r="A12" s="29" t="n"/>
      <c r="B12" s="57" t="inlineStr">
        <is>
          <t>4</t>
        </is>
      </c>
      <c r="C12" s="73" t="inlineStr">
        <is>
          <t>External forensics engaged
5–10 additional days, uncertain outcome, high cost</t>
        </is>
      </c>
      <c r="D12" s="31" t="n"/>
      <c r="E12" s="58" t="inlineStr">
        <is>
          <t>4</t>
        </is>
      </c>
      <c r="F12" s="74" t="inlineStr">
        <is>
          <t>Recovery point identified
Full backup history visible; select last known clean state</t>
        </is>
      </c>
      <c r="G12" s="29" t="n"/>
    </row>
    <row r="13" ht="7.5" customHeight="1" s="114">
      <c r="A13" s="29" t="n"/>
      <c r="B13" s="29" t="n"/>
      <c r="C13" s="29" t="n"/>
      <c r="D13" s="29" t="n"/>
      <c r="E13" s="29" t="n"/>
      <c r="F13" s="29" t="n"/>
      <c r="G13" s="29" t="n"/>
    </row>
    <row r="14" ht="27.75" customHeight="1" s="114">
      <c r="A14" s="29" t="n"/>
      <c r="B14" s="57" t="inlineStr">
        <is>
          <t>5</t>
        </is>
      </c>
      <c r="C14" s="73" t="inlineStr">
        <is>
          <t>Ransom payment considered
No guarantee of recovery; flags org as repeat target (78% recurrence)</t>
        </is>
      </c>
      <c r="D14" s="31" t="n"/>
      <c r="E14" s="58" t="inlineStr">
        <is>
          <t>5</t>
        </is>
      </c>
      <c r="F14" s="74" t="inlineStr">
        <is>
          <t>Granular restore
Mailboxes, files, Teams chats, or full SharePoint sites — any granularity</t>
        </is>
      </c>
      <c r="G14" s="29" t="n"/>
    </row>
    <row r="15" ht="7.5" customHeight="1" s="114">
      <c r="A15" s="29" t="n"/>
      <c r="B15" s="29" t="n"/>
      <c r="C15" s="29" t="n"/>
      <c r="D15" s="29" t="n"/>
      <c r="E15" s="29" t="n"/>
      <c r="F15" s="29" t="n"/>
      <c r="G15" s="29" t="n"/>
    </row>
    <row r="16" ht="27.75" customHeight="1" s="114">
      <c r="A16" s="29" t="n"/>
      <c r="B16" s="57" t="inlineStr">
        <is>
          <t>6</t>
        </is>
      </c>
      <c r="C16" s="73" t="inlineStr">
        <is>
          <t>Manual data recreation
Weeks of lost productivity across all affected users</t>
        </is>
      </c>
      <c r="D16" s="31" t="n"/>
      <c r="E16" s="58" t="inlineStr">
        <is>
          <t>6</t>
        </is>
      </c>
      <c r="F16" s="74" t="inlineStr">
        <is>
          <t>Operations restored
Users back to work; complete audit trail and chain of custody generated</t>
        </is>
      </c>
      <c r="G16" s="29" t="n"/>
    </row>
    <row r="17" ht="7.5" customHeight="1" s="114">
      <c r="A17" s="29" t="n"/>
      <c r="B17" s="29" t="n"/>
      <c r="C17" s="29" t="n"/>
      <c r="D17" s="29" t="n"/>
      <c r="E17" s="29" t="n"/>
      <c r="F17" s="29" t="n"/>
      <c r="G17" s="29" t="n"/>
    </row>
    <row r="18" ht="27.75" customHeight="1" s="114">
      <c r="A18" s="29" t="n"/>
      <c r="B18" s="57" t="inlineStr">
        <is>
          <t>7</t>
        </is>
      </c>
      <c r="C18" s="73" t="inlineStr">
        <is>
          <t>Regulatory notification
Tight deadlines: 3 days (SG/MAS), 72 hrs (KR PIPA) — clock is running</t>
        </is>
      </c>
      <c r="D18" s="31" t="n"/>
      <c r="E18" s="58" t="inlineStr">
        <is>
          <t>7</t>
        </is>
      </c>
      <c r="F18" s="74" t="inlineStr">
        <is>
          <t>Regulator notified
Evidence of clean, complete recovery reduces fine exposure significantly</t>
        </is>
      </c>
      <c r="G18" s="29" t="n"/>
    </row>
    <row r="19" ht="7.5" customHeight="1" s="114">
      <c r="A19" s="29" t="n"/>
      <c r="B19" s="29" t="n"/>
      <c r="C19" s="29" t="n"/>
      <c r="D19" s="29" t="n"/>
      <c r="E19" s="29" t="n"/>
      <c r="F19" s="29" t="n"/>
      <c r="G19" s="29" t="n"/>
    </row>
    <row r="20" ht="27.75" customHeight="1" s="114">
      <c r="A20" s="29" t="n"/>
      <c r="B20" s="57" t="inlineStr">
        <is>
          <t>8</t>
        </is>
      </c>
      <c r="C20" s="73" t="inlineStr">
        <is>
          <t>Investigation &amp; fines
Regulatory action, potential fines, reputational and licence damage</t>
        </is>
      </c>
      <c r="D20" s="31" t="n"/>
      <c r="E20" s="59" t="n"/>
      <c r="F20" s="59" t="n"/>
      <c r="G20" s="29" t="n"/>
    </row>
    <row r="23" ht="9.75" customHeight="1" s="114"/>
    <row r="24" ht="45.75" customHeight="1" s="114">
      <c r="B24" s="149" t="inlineStr">
        <is>
          <t>15 – 30+ DAYS</t>
        </is>
      </c>
      <c r="D24" s="31" t="n"/>
      <c r="E24" s="152" t="inlineStr">
        <is>
          <t>HOURS – 1 DAY</t>
        </is>
      </c>
    </row>
    <row r="25" ht="21.75" customHeight="1" s="114">
      <c r="B25" s="151" t="inlineStr">
        <is>
          <t>Outcome: uncertain  ·  Cost: unpredictable</t>
        </is>
      </c>
      <c r="D25" s="31" t="n"/>
      <c r="E25" s="156" t="inlineStr">
        <is>
          <t>Outcome: guaranteed  ·  Cost: zero marginal</t>
        </is>
      </c>
    </row>
    <row r="27" ht="30" customHeight="1" s="114">
      <c r="B27" s="161">
        <f>'ROI Calculator'!B52</f>
        <v/>
      </c>
    </row>
  </sheetData>
  <mergeCells count="11">
    <mergeCell ref="B24:C24"/>
    <mergeCell ref="A1:G1"/>
    <mergeCell ref="B25:C25"/>
    <mergeCell ref="E24:F24"/>
    <mergeCell ref="A3:G3"/>
    <mergeCell ref="B5:C5"/>
    <mergeCell ref="E25:F25"/>
    <mergeCell ref="A4:G4"/>
    <mergeCell ref="E5:F5"/>
    <mergeCell ref="A2:G2"/>
    <mergeCell ref="B27:F2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2026-05-27T06:02:21Z</dcterms:created>
  <dcterms:modified xmlns:dcterms="http://purl.org/dc/terms/" xmlns:xsi="http://www.w3.org/2001/XMLSchema-instance" xsi:type="dcterms:W3CDTF">2026-06-10T02:49:23Z</dcterms:modified>
  <cp:lastModifiedBy>Ragini Verma</cp:lastModifiedBy>
  <cp:revision>0</cp:revision>
</cp:coreProperties>
</file>